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de Inventory (Live Formulas)" sheetId="1" state="visible" r:id="rId1"/>
    <sheet name="KPI-Table-Formula Reference" sheetId="2" state="visible" r:id="rId2"/>
    <sheet name="Formula Patter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sz val="9"/>
    </font>
    <font>
      <name val="Courier New"/>
      <b val="1"/>
      <color rgb="005C3317"/>
      <sz val="8"/>
    </font>
    <font>
      <name val="Courier New"/>
      <b val="1"/>
      <color rgb="00FFFFFF"/>
      <sz val="9"/>
    </font>
    <font>
      <name val="Courier New"/>
      <b val="1"/>
      <color rgb="00FFFFFF"/>
      <sz val="8"/>
    </font>
    <font>
      <name val="Calibri"/>
      <b val="1"/>
      <color rgb="00FFFFFF"/>
      <sz val="12"/>
    </font>
    <font>
      <name val="Calibri"/>
      <i val="1"/>
      <color rgb="00333333"/>
      <sz val="9"/>
    </font>
    <font>
      <name val="Calibri"/>
      <b val="1"/>
      <color rgb="00FFFFFF"/>
      <sz val="9"/>
    </font>
    <font>
      <name val="Courier New"/>
      <b val="1"/>
      <color rgb="00555555"/>
      <sz val="8"/>
    </font>
    <font>
      <name val="Courier New"/>
      <b val="1"/>
      <color rgb="001F3864"/>
      <sz val="9"/>
    </font>
    <font>
      <name val="Courier New"/>
      <i val="1"/>
      <color rgb="00777777"/>
      <sz val="9"/>
    </font>
    <font>
      <name val="Courier New"/>
      <b val="1"/>
      <i val="1"/>
      <color rgb="00777777"/>
      <sz val="9"/>
    </font>
  </fonts>
  <fills count="1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5C99"/>
      </patternFill>
    </fill>
    <fill>
      <patternFill patternType="solid">
        <fgColor rgb="00F7F7F7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0F7FF"/>
      </patternFill>
    </fill>
    <fill>
      <patternFill patternType="solid">
        <fgColor rgb="00F2F2F2"/>
      </patternFill>
    </fill>
    <fill>
      <patternFill patternType="solid">
        <fgColor rgb="00E8F8E8"/>
      </patternFill>
    </fill>
    <fill>
      <patternFill patternType="solid">
        <fgColor rgb="00E2EFDA"/>
      </patternFill>
    </fill>
    <fill>
      <patternFill patternType="solid">
        <fgColor rgb="00FFE0C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10" fontId="9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10" fillId="9" borderId="2" applyAlignment="1" pivotButton="0" quotePrefix="0" xfId="0">
      <alignment horizontal="left" vertical="center"/>
    </xf>
    <xf numFmtId="10" fontId="4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4" fontId="11" fillId="2" borderId="2" applyAlignment="1" pivotButton="0" quotePrefix="0" xfId="0">
      <alignment horizontal="left" vertical="center" wrapText="1"/>
    </xf>
    <xf numFmtId="10" fontId="4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6" customWidth="1" min="4" max="4"/>
    <col width="20" customWidth="1" min="5" max="5"/>
    <col width="16" customWidth="1" min="6" max="6"/>
    <col width="20" customWidth="1" min="7" max="7"/>
    <col width="16" customWidth="1" min="8" max="8"/>
  </cols>
  <sheetData>
    <row r="1" ht="30" customHeight="1">
      <c r="A1" s="1" t="inlineStr">
        <is>
          <t>CRUDE INVENTORY BY TANK  —  MPC Carson Refinery  |  AORA Mass Balance System  |  Volumes in Barrels (MB)</t>
        </is>
      </c>
    </row>
    <row r="2" ht="20" customHeight="1">
      <c r="A2" s="2" t="inlineStr">
        <is>
          <t>Recon Date: 2026-01-01   |   Recon Status: Preliminary   |   Click any formula cell → formula shown in fx bar above</t>
        </is>
      </c>
    </row>
    <row r="3" ht="16" customHeight="1">
      <c r="A3" s="3" t="inlineStr">
        <is>
          <t xml:space="preserve">  ■ GREEN = SUM formula (=E[r1]+E[r2]+...)   ■ YELLOW = IF% formula (=IF(total=0,0,this_row/total))   ■ ORANGE = Grand Total SUM (all crude rows across all tanks)</t>
        </is>
      </c>
    </row>
    <row r="4" ht="38" customHeight="1">
      <c r="A4" s="4" t="inlineStr">
        <is>
          <t>#</t>
        </is>
      </c>
      <c r="B4" s="4" t="inlineStr">
        <is>
          <t>Tank</t>
        </is>
      </c>
      <c r="C4" s="4" t="inlineStr">
        <is>
          <t>Crude
Code</t>
        </is>
      </c>
      <c r="D4" s="4" t="inlineStr">
        <is>
          <t>Crude Description</t>
        </is>
      </c>
      <c r="E4" s="4" t="inlineStr">
        <is>
          <t>Opening Volume
(MB)</t>
        </is>
      </c>
      <c r="F4" s="4" t="inlineStr">
        <is>
          <t>Opening
%</t>
        </is>
      </c>
      <c r="G4" s="4" t="inlineStr">
        <is>
          <t>Closing Volume
(MB)</t>
        </is>
      </c>
      <c r="H4" s="4" t="inlineStr">
        <is>
          <t>Closing
%</t>
        </is>
      </c>
    </row>
    <row r="5" ht="22" customHeight="1">
      <c r="A5" s="5" t="inlineStr">
        <is>
          <t xml:space="preserve">  Tank: TK13   (2 crude types)</t>
        </is>
      </c>
    </row>
    <row r="6" ht="18" customHeight="1">
      <c r="A6" s="6" t="inlineStr"/>
      <c r="B6" s="7" t="inlineStr">
        <is>
          <t>TK13</t>
        </is>
      </c>
      <c r="C6" s="7" t="inlineStr">
        <is>
          <t>ANS</t>
        </is>
      </c>
      <c r="D6" s="6" t="inlineStr">
        <is>
          <t>Alaskan North Slope</t>
        </is>
      </c>
      <c r="E6" s="8" t="n">
        <v>336048.884</v>
      </c>
      <c r="F6" s="9">
        <f>IF((E6+E7)=0,0,E6/(E6+E7))</f>
        <v/>
      </c>
      <c r="G6" s="8" t="n">
        <v>295974.908</v>
      </c>
      <c r="H6" s="9">
        <f>IF((G6+G7)=0,0,G6/(G6+G7))</f>
        <v/>
      </c>
    </row>
    <row r="7" ht="18" customHeight="1">
      <c r="A7" s="10" t="inlineStr"/>
      <c r="B7" s="11" t="inlineStr">
        <is>
          <t>TK13</t>
        </is>
      </c>
      <c r="C7" s="12" t="inlineStr">
        <is>
          <t>MED</t>
        </is>
      </c>
      <c r="D7" s="10" t="inlineStr">
        <is>
          <t>Medanito</t>
        </is>
      </c>
      <c r="E7" s="13" t="n">
        <v>58004.686</v>
      </c>
      <c r="F7" s="9">
        <f>IF((E6+E7)=0,0,E7/(E6+E7))</f>
        <v/>
      </c>
      <c r="G7" s="13" t="n">
        <v>41600.582</v>
      </c>
      <c r="H7" s="9">
        <f>IF((G6+G7)=0,0,G7/(G6+G7))</f>
        <v/>
      </c>
    </row>
    <row r="8" ht="22" customHeight="1">
      <c r="A8" s="14" t="inlineStr"/>
      <c r="B8" s="15" t="inlineStr">
        <is>
          <t>TK13</t>
        </is>
      </c>
      <c r="C8" s="15" t="inlineStr">
        <is>
          <t>Total</t>
        </is>
      </c>
      <c r="D8" s="16" t="inlineStr">
        <is>
          <t>Total for TK13</t>
        </is>
      </c>
      <c r="E8" s="17">
        <f>E6+E7</f>
        <v/>
      </c>
      <c r="F8" s="18" t="n">
        <v>1</v>
      </c>
      <c r="G8" s="17">
        <f>G6+G7</f>
        <v/>
      </c>
      <c r="H8" s="18" t="n">
        <v>1</v>
      </c>
    </row>
    <row r="9" ht="22" customHeight="1">
      <c r="A9" s="5" t="inlineStr">
        <is>
          <t xml:space="preserve">  Tank: TK16   (4 crude types)</t>
        </is>
      </c>
    </row>
    <row r="10" ht="18" customHeight="1">
      <c r="A10" s="6" t="inlineStr"/>
      <c r="B10" s="7" t="inlineStr">
        <is>
          <t>TK16</t>
        </is>
      </c>
      <c r="C10" s="7" t="inlineStr">
        <is>
          <t>ANS</t>
        </is>
      </c>
      <c r="D10" s="6" t="inlineStr">
        <is>
          <t>Alaskan North Slope</t>
        </is>
      </c>
      <c r="E10" s="8" t="n">
        <v>4576.383</v>
      </c>
      <c r="F10" s="9">
        <f>IF((E10+E11+E12+E13)=0,0,E10/(E10+E11+E12+E13))</f>
        <v/>
      </c>
      <c r="G10" s="8" t="n">
        <v>3145.954</v>
      </c>
      <c r="H10" s="9">
        <f>IF((G10+G11+G12+G13)=0,0,G10/(G10+G11+G12+G13))</f>
        <v/>
      </c>
    </row>
    <row r="11" ht="18" customHeight="1">
      <c r="A11" s="10" t="inlineStr"/>
      <c r="B11" s="11" t="inlineStr">
        <is>
          <t>TK16</t>
        </is>
      </c>
      <c r="C11" s="12" t="inlineStr">
        <is>
          <t>IRA</t>
        </is>
      </c>
      <c r="D11" s="10" t="inlineStr">
        <is>
          <t>Iracema</t>
        </is>
      </c>
      <c r="E11" s="13" t="n">
        <v>4681.124</v>
      </c>
      <c r="F11" s="9">
        <f>IF((E10+E11+E12+E13)=0,0,E11/(E10+E11+E12+E13))</f>
        <v/>
      </c>
      <c r="G11" s="13" t="n">
        <v>3217.957</v>
      </c>
      <c r="H11" s="9">
        <f>IF((G10+G11+G12+G13)=0,0,G11/(G10+G11+G12+G13))</f>
        <v/>
      </c>
    </row>
    <row r="12" ht="18" customHeight="1">
      <c r="A12" s="6" t="inlineStr"/>
      <c r="B12" s="19" t="inlineStr">
        <is>
          <t>TK16</t>
        </is>
      </c>
      <c r="C12" s="7" t="inlineStr">
        <is>
          <t>LUL</t>
        </is>
      </c>
      <c r="D12" s="6" t="inlineStr">
        <is>
          <t>Tupi (Lula)</t>
        </is>
      </c>
      <c r="E12" s="8" t="n">
        <v>169.197</v>
      </c>
      <c r="F12" s="9">
        <f>IF((E10+E11+E12+E13)=0,0,E12/(E10+E11+E12+E13))</f>
        <v/>
      </c>
      <c r="G12" s="8" t="n">
        <v>116.312</v>
      </c>
      <c r="H12" s="9">
        <f>IF((G10+G11+G12+G13)=0,0,G12/(G10+G11+G12+G13))</f>
        <v/>
      </c>
    </row>
    <row r="13" ht="18" customHeight="1">
      <c r="A13" s="10" t="inlineStr"/>
      <c r="B13" s="11" t="inlineStr">
        <is>
          <t>TK16</t>
        </is>
      </c>
      <c r="C13" s="12" t="inlineStr">
        <is>
          <t>MRO</t>
        </is>
      </c>
      <c r="D13" s="10" t="inlineStr">
        <is>
          <t>Mero</t>
        </is>
      </c>
      <c r="E13" s="13" t="n">
        <v>71143.416</v>
      </c>
      <c r="F13" s="9">
        <f>IF((E10+E11+E12+E13)=0,0,E13/(E10+E11+E12+E13))</f>
        <v/>
      </c>
      <c r="G13" s="13" t="n">
        <v>48906.297</v>
      </c>
      <c r="H13" s="9">
        <f>IF((G10+G11+G12+G13)=0,0,G13/(G10+G11+G12+G13))</f>
        <v/>
      </c>
    </row>
    <row r="14" ht="22" customHeight="1">
      <c r="A14" s="14" t="inlineStr"/>
      <c r="B14" s="15" t="inlineStr">
        <is>
          <t>TK16</t>
        </is>
      </c>
      <c r="C14" s="15" t="inlineStr">
        <is>
          <t>Total</t>
        </is>
      </c>
      <c r="D14" s="16" t="inlineStr">
        <is>
          <t>Total for TK16</t>
        </is>
      </c>
      <c r="E14" s="17">
        <f>E10+E11+E12+E13</f>
        <v/>
      </c>
      <c r="F14" s="18" t="n">
        <v>1</v>
      </c>
      <c r="G14" s="17">
        <f>G10+G11+G12+G13</f>
        <v/>
      </c>
      <c r="H14" s="18" t="n">
        <v>1</v>
      </c>
    </row>
    <row r="15" ht="22" customHeight="1">
      <c r="A15" s="5" t="inlineStr">
        <is>
          <t xml:space="preserve">  Tank: TK17   (4 crude types)</t>
        </is>
      </c>
    </row>
    <row r="16" ht="18" customHeight="1">
      <c r="A16" s="6" t="inlineStr"/>
      <c r="B16" s="7" t="inlineStr">
        <is>
          <t>TK17</t>
        </is>
      </c>
      <c r="C16" s="7" t="inlineStr">
        <is>
          <t>ANS</t>
        </is>
      </c>
      <c r="D16" s="6" t="inlineStr">
        <is>
          <t>Alaskan North Slope</t>
        </is>
      </c>
      <c r="E16" s="8" t="n">
        <v>4694.293</v>
      </c>
      <c r="F16" s="9">
        <f>IF((E16+E17+E18+E19)=0,0,E16/(E16+E17+E18+E19))</f>
        <v/>
      </c>
      <c r="G16" s="8" t="n">
        <v>3284.006</v>
      </c>
      <c r="H16" s="9">
        <f>IF((G16+G17+G18+G19)=0,0,G16/(G16+G17+G18+G19))</f>
        <v/>
      </c>
    </row>
    <row r="17" ht="18" customHeight="1">
      <c r="A17" s="10" t="inlineStr"/>
      <c r="B17" s="11" t="inlineStr">
        <is>
          <t>TK17</t>
        </is>
      </c>
      <c r="C17" s="12" t="inlineStr">
        <is>
          <t>IRA</t>
        </is>
      </c>
      <c r="D17" s="10" t="inlineStr">
        <is>
          <t>Iracema</t>
        </is>
      </c>
      <c r="E17" s="13" t="n">
        <v>5012.136</v>
      </c>
      <c r="F17" s="9">
        <f>IF((E16+E17+E18+E19)=0,0,E17/(E16+E17+E18+E19))</f>
        <v/>
      </c>
      <c r="G17" s="13" t="n">
        <v>3506.361</v>
      </c>
      <c r="H17" s="9">
        <f>IF((G16+G17+G18+G19)=0,0,G17/(G16+G17+G18+G19))</f>
        <v/>
      </c>
    </row>
    <row r="18" ht="18" customHeight="1">
      <c r="A18" s="6" t="inlineStr"/>
      <c r="B18" s="19" t="inlineStr">
        <is>
          <t>TK17</t>
        </is>
      </c>
      <c r="C18" s="7" t="inlineStr">
        <is>
          <t>LUL</t>
        </is>
      </c>
      <c r="D18" s="6" t="inlineStr">
        <is>
          <t>Tupi (Lula)</t>
        </is>
      </c>
      <c r="E18" s="8" t="n">
        <v>187.446</v>
      </c>
      <c r="F18" s="9">
        <f>IF((E16+E17+E18+E19)=0,0,E18/(E16+E17+E18+E19))</f>
        <v/>
      </c>
      <c r="G18" s="8" t="n">
        <v>131.132</v>
      </c>
      <c r="H18" s="9">
        <f>IF((G16+G17+G18+G19)=0,0,G18/(G16+G17+G18+G19))</f>
        <v/>
      </c>
    </row>
    <row r="19" ht="18" customHeight="1">
      <c r="A19" s="10" t="inlineStr"/>
      <c r="B19" s="11" t="inlineStr">
        <is>
          <t>TK17</t>
        </is>
      </c>
      <c r="C19" s="12" t="inlineStr">
        <is>
          <t>MRO</t>
        </is>
      </c>
      <c r="D19" s="10" t="inlineStr">
        <is>
          <t>Mero</t>
        </is>
      </c>
      <c r="E19" s="13" t="n">
        <v>71604.27499999999</v>
      </c>
      <c r="F19" s="9">
        <f>IF((E16+E17+E18+E19)=0,0,E19/(E16+E17+E18+E19))</f>
        <v/>
      </c>
      <c r="G19" s="13" t="n">
        <v>50092.5</v>
      </c>
      <c r="H19" s="9">
        <f>IF((G16+G17+G18+G19)=0,0,G19/(G16+G17+G18+G19))</f>
        <v/>
      </c>
    </row>
    <row r="20" ht="22" customHeight="1">
      <c r="A20" s="14" t="inlineStr"/>
      <c r="B20" s="15" t="inlineStr">
        <is>
          <t>TK17</t>
        </is>
      </c>
      <c r="C20" s="15" t="inlineStr">
        <is>
          <t>Total</t>
        </is>
      </c>
      <c r="D20" s="16" t="inlineStr">
        <is>
          <t>Total for TK17</t>
        </is>
      </c>
      <c r="E20" s="17">
        <f>E16+E17+E18+E19</f>
        <v/>
      </c>
      <c r="F20" s="18" t="n">
        <v>1</v>
      </c>
      <c r="G20" s="17">
        <f>G16+G17+G18+G19</f>
        <v/>
      </c>
      <c r="H20" s="18" t="n">
        <v>1</v>
      </c>
    </row>
    <row r="21" ht="22" customHeight="1">
      <c r="A21" s="5" t="inlineStr">
        <is>
          <t xml:space="preserve">  Tank: TK18   (3 crude types)</t>
        </is>
      </c>
    </row>
    <row r="22" ht="18" customHeight="1">
      <c r="A22" s="6" t="inlineStr"/>
      <c r="B22" s="7" t="inlineStr">
        <is>
          <t>TK18</t>
        </is>
      </c>
      <c r="C22" s="7" t="inlineStr">
        <is>
          <t>IRA</t>
        </is>
      </c>
      <c r="D22" s="6" t="inlineStr">
        <is>
          <t>Iracema</t>
        </is>
      </c>
      <c r="E22" s="8" t="n">
        <v>4265.424</v>
      </c>
      <c r="F22" s="9">
        <f>IF((E22+E23+E24)=0,0,E22/(E22+E23+E24))</f>
        <v/>
      </c>
      <c r="G22" s="8" t="n">
        <v>4265.424</v>
      </c>
      <c r="H22" s="9">
        <f>IF((G22+G23+G24)=0,0,G22/(G22+G23+G24))</f>
        <v/>
      </c>
    </row>
    <row r="23" ht="18" customHeight="1">
      <c r="A23" s="10" t="inlineStr"/>
      <c r="B23" s="11" t="inlineStr">
        <is>
          <t>TK18</t>
        </is>
      </c>
      <c r="C23" s="12" t="inlineStr">
        <is>
          <t>LUL</t>
        </is>
      </c>
      <c r="D23" s="10" t="inlineStr">
        <is>
          <t>Tupi (Lula)</t>
        </is>
      </c>
      <c r="E23" s="13" t="n">
        <v>25314.511</v>
      </c>
      <c r="F23" s="9">
        <f>IF((E22+E23+E24)=0,0,E23/(E22+E23+E24))</f>
        <v/>
      </c>
      <c r="G23" s="13" t="n">
        <v>25314.511</v>
      </c>
      <c r="H23" s="9">
        <f>IF((G22+G23+G24)=0,0,G23/(G22+G23+G24))</f>
        <v/>
      </c>
    </row>
    <row r="24" ht="18" customHeight="1">
      <c r="A24" s="6" t="inlineStr"/>
      <c r="B24" s="19" t="inlineStr">
        <is>
          <t>TK18</t>
        </is>
      </c>
      <c r="C24" s="7" t="inlineStr">
        <is>
          <t>MRO</t>
        </is>
      </c>
      <c r="D24" s="6" t="inlineStr">
        <is>
          <t>Mero</t>
        </is>
      </c>
      <c r="E24" s="8" t="n">
        <v>38232.845</v>
      </c>
      <c r="F24" s="9">
        <f>IF((E22+E23+E24)=0,0,E24/(E22+E23+E24))</f>
        <v/>
      </c>
      <c r="G24" s="8" t="n">
        <v>38232.845</v>
      </c>
      <c r="H24" s="9">
        <f>IF((G22+G23+G24)=0,0,G24/(G22+G23+G24))</f>
        <v/>
      </c>
    </row>
    <row r="25" ht="22" customHeight="1">
      <c r="A25" s="14" t="inlineStr"/>
      <c r="B25" s="15" t="inlineStr">
        <is>
          <t>TK18</t>
        </is>
      </c>
      <c r="C25" s="15" t="inlineStr">
        <is>
          <t>Total</t>
        </is>
      </c>
      <c r="D25" s="16" t="inlineStr">
        <is>
          <t>Total for TK18</t>
        </is>
      </c>
      <c r="E25" s="17">
        <f>E22+E23+E24</f>
        <v/>
      </c>
      <c r="F25" s="18" t="n">
        <v>1</v>
      </c>
      <c r="G25" s="17">
        <f>G22+G23+G24</f>
        <v/>
      </c>
      <c r="H25" s="18" t="n">
        <v>1</v>
      </c>
    </row>
    <row r="26" ht="22" customHeight="1">
      <c r="A26" s="5" t="inlineStr">
        <is>
          <t xml:space="preserve">  Tank: TK2   (1 crude type)</t>
        </is>
      </c>
    </row>
    <row r="27" ht="18" customHeight="1">
      <c r="A27" s="6" t="inlineStr"/>
      <c r="B27" s="7" t="inlineStr">
        <is>
          <t>TK2</t>
        </is>
      </c>
      <c r="C27" s="7" t="inlineStr">
        <is>
          <t>Acc_DomesticCrude</t>
        </is>
      </c>
      <c r="D27" s="6" t="inlineStr">
        <is>
          <t>Domestic Crude</t>
        </is>
      </c>
      <c r="E27" s="8" t="n">
        <v>27003.49</v>
      </c>
      <c r="F27" s="9">
        <f>IF((E27)=0,0,E27/(E27))</f>
        <v/>
      </c>
      <c r="G27" s="8" t="n">
        <v>27990.33</v>
      </c>
      <c r="H27" s="9">
        <f>IF((G27)=0,0,G27/(G27))</f>
        <v/>
      </c>
    </row>
    <row r="28" ht="22" customHeight="1">
      <c r="A28" s="14" t="inlineStr"/>
      <c r="B28" s="15" t="inlineStr">
        <is>
          <t>TK2</t>
        </is>
      </c>
      <c r="C28" s="15" t="inlineStr">
        <is>
          <t>Total</t>
        </is>
      </c>
      <c r="D28" s="16" t="inlineStr">
        <is>
          <t>Total for TK2</t>
        </is>
      </c>
      <c r="E28" s="17">
        <f>E27</f>
        <v/>
      </c>
      <c r="F28" s="18" t="n">
        <v>1</v>
      </c>
      <c r="G28" s="17">
        <f>G27</f>
        <v/>
      </c>
      <c r="H28" s="18" t="n">
        <v>1</v>
      </c>
    </row>
    <row r="29" ht="22" customHeight="1">
      <c r="A29" s="5" t="inlineStr">
        <is>
          <t xml:space="preserve">  Tank: TK27   (4 crude types)</t>
        </is>
      </c>
    </row>
    <row r="30" ht="18" customHeight="1">
      <c r="A30" s="6" t="inlineStr"/>
      <c r="B30" s="7" t="inlineStr">
        <is>
          <t>TK27</t>
        </is>
      </c>
      <c r="C30" s="7" t="inlineStr">
        <is>
          <t>166</t>
        </is>
      </c>
      <c r="D30" s="6" t="inlineStr">
        <is>
          <t>Alkylate</t>
        </is>
      </c>
      <c r="E30" s="8" t="n">
        <v>5060.772</v>
      </c>
      <c r="F30" s="9">
        <f>IF((E30+E31+E32+E33)=0,0,E30/(E30+E31+E32+E33))</f>
        <v/>
      </c>
      <c r="G30" s="8" t="n">
        <v>3906.274</v>
      </c>
      <c r="H30" s="9">
        <f>IF((G30+G31+G32+G33)=0,0,G30/(G30+G31+G32+G33))</f>
        <v/>
      </c>
    </row>
    <row r="31" ht="18" customHeight="1">
      <c r="A31" s="10" t="inlineStr"/>
      <c r="B31" s="11" t="inlineStr">
        <is>
          <t>TK27</t>
        </is>
      </c>
      <c r="C31" s="12" t="inlineStr">
        <is>
          <t>544</t>
        </is>
      </c>
      <c r="D31" s="10" t="inlineStr">
        <is>
          <t>Alkylate - Purchased</t>
        </is>
      </c>
      <c r="E31" s="13" t="n">
        <v>16.869</v>
      </c>
      <c r="F31" s="9">
        <f>IF((E30+E31+E32+E33)=0,0,E31/(E30+E31+E32+E33))</f>
        <v/>
      </c>
      <c r="G31" s="13" t="n">
        <v>13.021</v>
      </c>
      <c r="H31" s="9">
        <f>IF((G30+G31+G32+G33)=0,0,G31/(G30+G31+G32+G33))</f>
        <v/>
      </c>
    </row>
    <row r="32" ht="18" customHeight="1">
      <c r="A32" s="6" t="inlineStr"/>
      <c r="B32" s="19" t="inlineStr">
        <is>
          <t>TK27</t>
        </is>
      </c>
      <c r="C32" s="7" t="inlineStr">
        <is>
          <t>59B</t>
        </is>
      </c>
      <c r="D32" s="6" t="inlineStr">
        <is>
          <t>Alkylate - Transferred</t>
        </is>
      </c>
      <c r="E32" s="8" t="n">
        <v>591.361</v>
      </c>
      <c r="F32" s="9">
        <f>IF((E30+E31+E32+E33)=0,0,E32/(E30+E31+E32+E33))</f>
        <v/>
      </c>
      <c r="G32" s="8" t="n">
        <v>456.455</v>
      </c>
      <c r="H32" s="9">
        <f>IF((G30+G31+G32+G33)=0,0,G32/(G30+G31+G32+G33))</f>
        <v/>
      </c>
    </row>
    <row r="33" ht="18" customHeight="1">
      <c r="A33" s="10" t="inlineStr"/>
      <c r="B33" s="11" t="inlineStr">
        <is>
          <t>TK27</t>
        </is>
      </c>
      <c r="C33" s="12" t="inlineStr">
        <is>
          <t>RNC</t>
        </is>
      </c>
      <c r="D33" s="10" t="inlineStr">
        <is>
          <t>Renewable Naphtha Consumption</t>
        </is>
      </c>
      <c r="E33" s="13" t="n">
        <v>3703.735</v>
      </c>
      <c r="F33" s="9">
        <f>IF((E30+E31+E32+E33)=0,0,E33/(E30+E31+E32+E33))</f>
        <v/>
      </c>
      <c r="G33" s="13" t="n">
        <v>2858.814</v>
      </c>
      <c r="H33" s="9">
        <f>IF((G30+G31+G32+G33)=0,0,G33/(G30+G31+G32+G33))</f>
        <v/>
      </c>
    </row>
    <row r="34" ht="22" customHeight="1">
      <c r="A34" s="14" t="inlineStr"/>
      <c r="B34" s="15" t="inlineStr">
        <is>
          <t>TK27</t>
        </is>
      </c>
      <c r="C34" s="15" t="inlineStr">
        <is>
          <t>Total</t>
        </is>
      </c>
      <c r="D34" s="16" t="inlineStr">
        <is>
          <t>Total for TK27</t>
        </is>
      </c>
      <c r="E34" s="17">
        <f>E30+E31+E32+E33</f>
        <v/>
      </c>
      <c r="F34" s="18" t="n">
        <v>1</v>
      </c>
      <c r="G34" s="17">
        <f>G30+G31+G32+G33</f>
        <v/>
      </c>
      <c r="H34" s="18" t="n">
        <v>1</v>
      </c>
    </row>
    <row r="35" ht="22" customHeight="1">
      <c r="A35" s="5" t="inlineStr">
        <is>
          <t xml:space="preserve">  Tank: TK28   (4 crude types)</t>
        </is>
      </c>
    </row>
    <row r="36" ht="18" customHeight="1">
      <c r="A36" s="6" t="inlineStr"/>
      <c r="B36" s="7" t="inlineStr">
        <is>
          <t>TK28</t>
        </is>
      </c>
      <c r="C36" s="7" t="inlineStr">
        <is>
          <t>166</t>
        </is>
      </c>
      <c r="D36" s="6" t="inlineStr">
        <is>
          <t>Alkylate</t>
        </is>
      </c>
      <c r="E36" s="8" t="n">
        <v>5070.567</v>
      </c>
      <c r="F36" s="9">
        <f>IF((E36+E37+E38+E39)=0,0,E36/(E36+E37+E38+E39))</f>
        <v/>
      </c>
      <c r="G36" s="8" t="n">
        <v>3903.051</v>
      </c>
      <c r="H36" s="9">
        <f>IF((G36+G37+G38+G39)=0,0,G36/(G36+G37+G38+G39))</f>
        <v/>
      </c>
    </row>
    <row r="37" ht="18" customHeight="1">
      <c r="A37" s="10" t="inlineStr"/>
      <c r="B37" s="11" t="inlineStr">
        <is>
          <t>TK28</t>
        </is>
      </c>
      <c r="C37" s="12" t="inlineStr">
        <is>
          <t>544</t>
        </is>
      </c>
      <c r="D37" s="10" t="inlineStr">
        <is>
          <t>Alkylate - Purchased</t>
        </is>
      </c>
      <c r="E37" s="13" t="n">
        <v>16.914</v>
      </c>
      <c r="F37" s="9">
        <f>IF((E36+E37+E38+E39)=0,0,E37/(E36+E37+E38+E39))</f>
        <v/>
      </c>
      <c r="G37" s="13" t="n">
        <v>13.02</v>
      </c>
      <c r="H37" s="9">
        <f>IF((G36+G37+G38+G39)=0,0,G37/(G36+G37+G38+G39))</f>
        <v/>
      </c>
    </row>
    <row r="38" ht="18" customHeight="1">
      <c r="A38" s="6" t="inlineStr"/>
      <c r="B38" s="19" t="inlineStr">
        <is>
          <t>TK28</t>
        </is>
      </c>
      <c r="C38" s="7" t="inlineStr">
        <is>
          <t>59B</t>
        </is>
      </c>
      <c r="D38" s="6" t="inlineStr">
        <is>
          <t>Alkylate - Transferred</t>
        </is>
      </c>
      <c r="E38" s="8" t="n">
        <v>595.763</v>
      </c>
      <c r="F38" s="9">
        <f>IF((E36+E37+E38+E39)=0,0,E38/(E36+E37+E38+E39))</f>
        <v/>
      </c>
      <c r="G38" s="8" t="n">
        <v>458.587</v>
      </c>
      <c r="H38" s="9">
        <f>IF((G36+G37+G38+G39)=0,0,G38/(G36+G37+G38+G39))</f>
        <v/>
      </c>
    </row>
    <row r="39" ht="18" customHeight="1">
      <c r="A39" s="10" t="inlineStr"/>
      <c r="B39" s="11" t="inlineStr">
        <is>
          <t>TK28</t>
        </is>
      </c>
      <c r="C39" s="12" t="inlineStr">
        <is>
          <t>RNC</t>
        </is>
      </c>
      <c r="D39" s="10" t="inlineStr">
        <is>
          <t>Renewable Naphtha Consumption</t>
        </is>
      </c>
      <c r="E39" s="13" t="n">
        <v>3713.655</v>
      </c>
      <c r="F39" s="9">
        <f>IF((E36+E37+E38+E39)=0,0,E39/(E36+E37+E38+E39))</f>
        <v/>
      </c>
      <c r="G39" s="13" t="n">
        <v>2858.572</v>
      </c>
      <c r="H39" s="9">
        <f>IF((G36+G37+G38+G39)=0,0,G39/(G36+G37+G38+G39))</f>
        <v/>
      </c>
    </row>
    <row r="40" ht="22" customHeight="1">
      <c r="A40" s="14" t="inlineStr"/>
      <c r="B40" s="15" t="inlineStr">
        <is>
          <t>TK28</t>
        </is>
      </c>
      <c r="C40" s="15" t="inlineStr">
        <is>
          <t>Total</t>
        </is>
      </c>
      <c r="D40" s="16" t="inlineStr">
        <is>
          <t>Total for TK28</t>
        </is>
      </c>
      <c r="E40" s="17">
        <f>E36+E37+E38+E39</f>
        <v/>
      </c>
      <c r="F40" s="18" t="n">
        <v>1</v>
      </c>
      <c r="G40" s="17">
        <f>G36+G37+G38+G39</f>
        <v/>
      </c>
      <c r="H40" s="18" t="n">
        <v>1</v>
      </c>
    </row>
    <row r="41" ht="22" customHeight="1">
      <c r="A41" s="5" t="inlineStr">
        <is>
          <t xml:space="preserve">  Tank: TK3   (1 crude type)</t>
        </is>
      </c>
    </row>
    <row r="42" ht="18" customHeight="1">
      <c r="A42" s="6" t="inlineStr"/>
      <c r="B42" s="7" t="inlineStr">
        <is>
          <t>TK3</t>
        </is>
      </c>
      <c r="C42" s="7" t="inlineStr">
        <is>
          <t>BAH</t>
        </is>
      </c>
      <c r="D42" s="6" t="inlineStr">
        <is>
          <t>Basrah Heavy</t>
        </is>
      </c>
      <c r="E42" s="8" t="n">
        <v>39146.32</v>
      </c>
      <c r="F42" s="9">
        <f>IF((E42)=0,0,E42/(E42))</f>
        <v/>
      </c>
      <c r="G42" s="8" t="n">
        <v>19956.83</v>
      </c>
      <c r="H42" s="9">
        <f>IF((G42)=0,0,G42/(G42))</f>
        <v/>
      </c>
    </row>
    <row r="43" ht="22" customHeight="1">
      <c r="A43" s="14" t="inlineStr"/>
      <c r="B43" s="15" t="inlineStr">
        <is>
          <t>TK3</t>
        </is>
      </c>
      <c r="C43" s="15" t="inlineStr">
        <is>
          <t>Total</t>
        </is>
      </c>
      <c r="D43" s="16" t="inlineStr">
        <is>
          <t>Total for TK3</t>
        </is>
      </c>
      <c r="E43" s="17">
        <f>E42</f>
        <v/>
      </c>
      <c r="F43" s="18" t="n">
        <v>1</v>
      </c>
      <c r="G43" s="17">
        <f>G42</f>
        <v/>
      </c>
      <c r="H43" s="18" t="n">
        <v>1</v>
      </c>
    </row>
    <row r="44" ht="22" customHeight="1">
      <c r="A44" s="5" t="inlineStr">
        <is>
          <t xml:space="preserve">  Tank: TK5   (3 crude types)</t>
        </is>
      </c>
    </row>
    <row r="45" ht="18" customHeight="1">
      <c r="A45" s="6" t="inlineStr"/>
      <c r="B45" s="7" t="inlineStr">
        <is>
          <t>TK5</t>
        </is>
      </c>
      <c r="C45" s="7" t="inlineStr">
        <is>
          <t>BAH</t>
        </is>
      </c>
      <c r="D45" s="6" t="inlineStr">
        <is>
          <t>Basrah Heavy</t>
        </is>
      </c>
      <c r="E45" s="8" t="n">
        <v>19535.611</v>
      </c>
      <c r="F45" s="9">
        <f>IF((E45+E46+E47)=0,0,E45/(E45+E46+E47))</f>
        <v/>
      </c>
      <c r="G45" s="8" t="n">
        <v>19273.003</v>
      </c>
      <c r="H45" s="9">
        <f>IF((G45+G46+G47)=0,0,G45/(G45+G46+G47))</f>
        <v/>
      </c>
    </row>
    <row r="46" ht="18" customHeight="1">
      <c r="A46" s="10" t="inlineStr"/>
      <c r="B46" s="11" t="inlineStr">
        <is>
          <t>TK5</t>
        </is>
      </c>
      <c r="C46" s="12" t="inlineStr">
        <is>
          <t>BAM</t>
        </is>
      </c>
      <c r="D46" s="10" t="inlineStr">
        <is>
          <t>Basrah Medium</t>
        </is>
      </c>
      <c r="E46" s="13" t="n">
        <v>0</v>
      </c>
      <c r="F46" s="9">
        <f>IF((E45+E46+E47)=0,0,E46/(E45+E46+E47))</f>
        <v/>
      </c>
      <c r="G46" s="13" t="n">
        <v>39073.595</v>
      </c>
      <c r="H46" s="9">
        <f>IF((G45+G46+G47)=0,0,G46/(G45+G46+G47))</f>
        <v/>
      </c>
    </row>
    <row r="47" ht="18" customHeight="1">
      <c r="A47" s="6" t="inlineStr"/>
      <c r="B47" s="19" t="inlineStr">
        <is>
          <t>TK5</t>
        </is>
      </c>
      <c r="C47" s="7" t="inlineStr">
        <is>
          <t>ORN</t>
        </is>
      </c>
      <c r="D47" s="6" t="inlineStr">
        <is>
          <t>Oriente</t>
        </is>
      </c>
      <c r="E47" s="8" t="n">
        <v>370.249</v>
      </c>
      <c r="F47" s="9">
        <f>IF((E45+E46+E47)=0,0,E47/(E45+E46+E47))</f>
        <v/>
      </c>
      <c r="G47" s="8" t="n">
        <v>365.272</v>
      </c>
      <c r="H47" s="9">
        <f>IF((G45+G46+G47)=0,0,G47/(G45+G46+G47))</f>
        <v/>
      </c>
    </row>
    <row r="48" ht="22" customHeight="1">
      <c r="A48" s="14" t="inlineStr"/>
      <c r="B48" s="15" t="inlineStr">
        <is>
          <t>TK5</t>
        </is>
      </c>
      <c r="C48" s="15" t="inlineStr">
        <is>
          <t>Total</t>
        </is>
      </c>
      <c r="D48" s="16" t="inlineStr">
        <is>
          <t>Total for TK5</t>
        </is>
      </c>
      <c r="E48" s="17">
        <f>E45+E46+E47</f>
        <v/>
      </c>
      <c r="F48" s="18" t="n">
        <v>1</v>
      </c>
      <c r="G48" s="17">
        <f>G45+G46+G47</f>
        <v/>
      </c>
      <c r="H48" s="18" t="n">
        <v>1</v>
      </c>
    </row>
    <row r="49" ht="22" customHeight="1">
      <c r="A49" s="5" t="inlineStr">
        <is>
          <t xml:space="preserve">  Tank: TK6   (2 crude types)</t>
        </is>
      </c>
    </row>
    <row r="50" ht="18" customHeight="1">
      <c r="A50" s="6" t="inlineStr"/>
      <c r="B50" s="7" t="inlineStr">
        <is>
          <t>TK6</t>
        </is>
      </c>
      <c r="C50" s="7" t="inlineStr">
        <is>
          <t>ANS</t>
        </is>
      </c>
      <c r="D50" s="6" t="inlineStr">
        <is>
          <t>Alaskan North Slope</t>
        </is>
      </c>
      <c r="E50" s="8" t="n">
        <v>17567.815</v>
      </c>
      <c r="F50" s="9">
        <f>IF((E50+E51)=0,0,E50/(E50+E51))</f>
        <v/>
      </c>
      <c r="G50" s="8" t="n">
        <v>14691.861</v>
      </c>
      <c r="H50" s="9">
        <f>IF((G50+G51)=0,0,G50/(G50+G51))</f>
        <v/>
      </c>
    </row>
    <row r="51" ht="18" customHeight="1">
      <c r="A51" s="10" t="inlineStr"/>
      <c r="B51" s="11" t="inlineStr">
        <is>
          <t>TK6</t>
        </is>
      </c>
      <c r="C51" s="12" t="inlineStr">
        <is>
          <t>BAM</t>
        </is>
      </c>
      <c r="D51" s="10" t="inlineStr">
        <is>
          <t>Basrah Medium</t>
        </is>
      </c>
      <c r="E51" s="13" t="n">
        <v>183207.215</v>
      </c>
      <c r="F51" s="9">
        <f>IF((E50+E51)=0,0,E51/(E50+E51))</f>
        <v/>
      </c>
      <c r="G51" s="13" t="n">
        <v>153215.119</v>
      </c>
      <c r="H51" s="9">
        <f>IF((G50+G51)=0,0,G51/(G50+G51))</f>
        <v/>
      </c>
    </row>
    <row r="52" ht="22" customHeight="1">
      <c r="A52" s="14" t="inlineStr"/>
      <c r="B52" s="15" t="inlineStr">
        <is>
          <t>TK6</t>
        </is>
      </c>
      <c r="C52" s="15" t="inlineStr">
        <is>
          <t>Total</t>
        </is>
      </c>
      <c r="D52" s="16" t="inlineStr">
        <is>
          <t>Total for TK6</t>
        </is>
      </c>
      <c r="E52" s="17">
        <f>E50+E51</f>
        <v/>
      </c>
      <c r="F52" s="18" t="n">
        <v>1</v>
      </c>
      <c r="G52" s="17">
        <f>G50+G51</f>
        <v/>
      </c>
      <c r="H52" s="18" t="n">
        <v>1</v>
      </c>
    </row>
    <row r="53" ht="22" customHeight="1">
      <c r="A53" s="5" t="inlineStr">
        <is>
          <t xml:space="preserve">  Tank: TK8   (4 crude types)</t>
        </is>
      </c>
    </row>
    <row r="54" ht="18" customHeight="1">
      <c r="A54" s="6" t="inlineStr"/>
      <c r="B54" s="7" t="inlineStr">
        <is>
          <t>TK8</t>
        </is>
      </c>
      <c r="C54" s="7" t="inlineStr">
        <is>
          <t>ANS</t>
        </is>
      </c>
      <c r="D54" s="6" t="inlineStr">
        <is>
          <t>Alaskan North Slope</t>
        </is>
      </c>
      <c r="E54" s="8" t="n">
        <v>3507.651</v>
      </c>
      <c r="F54" s="9">
        <f>IF((E54+E55+E56+E57)=0,0,E54/(E54+E55+E56+E57))</f>
        <v/>
      </c>
      <c r="G54" s="8" t="n">
        <v>13578.251</v>
      </c>
      <c r="H54" s="9">
        <f>IF((G54+G55+G56+G57)=0,0,G54/(G54+G55+G56+G57))</f>
        <v/>
      </c>
    </row>
    <row r="55" ht="18" customHeight="1">
      <c r="A55" s="10" t="inlineStr"/>
      <c r="B55" s="11" t="inlineStr">
        <is>
          <t>TK8</t>
        </is>
      </c>
      <c r="C55" s="12" t="inlineStr">
        <is>
          <t>BAM</t>
        </is>
      </c>
      <c r="D55" s="10" t="inlineStr">
        <is>
          <t>Basrah Medium</t>
        </is>
      </c>
      <c r="E55" s="13" t="n">
        <v>72666.705</v>
      </c>
      <c r="F55" s="9">
        <f>IF((E54+E55+E56+E57)=0,0,E55/(E54+E55+E56+E57))</f>
        <v/>
      </c>
      <c r="G55" s="13" t="n">
        <v>157272.792</v>
      </c>
      <c r="H55" s="9">
        <f>IF((G54+G55+G56+G57)=0,0,G55/(G54+G55+G56+G57))</f>
        <v/>
      </c>
    </row>
    <row r="56" ht="18" customHeight="1">
      <c r="A56" s="6" t="inlineStr"/>
      <c r="B56" s="19" t="inlineStr">
        <is>
          <t>TK8</t>
        </is>
      </c>
      <c r="C56" s="7" t="inlineStr">
        <is>
          <t>LUL</t>
        </is>
      </c>
      <c r="D56" s="6" t="inlineStr">
        <is>
          <t>Tupi (Lula)</t>
        </is>
      </c>
      <c r="E56" s="8" t="n">
        <v>5429.877</v>
      </c>
      <c r="F56" s="9">
        <f>IF((E54+E55+E56+E57)=0,0,E56/(E54+E55+E56+E57))</f>
        <v/>
      </c>
      <c r="G56" s="8" t="n">
        <v>4633.28</v>
      </c>
      <c r="H56" s="9">
        <f>IF((G54+G55+G56+G57)=0,0,G56/(G54+G55+G56+G57))</f>
        <v/>
      </c>
    </row>
    <row r="57" ht="18" customHeight="1">
      <c r="A57" s="10" t="inlineStr"/>
      <c r="B57" s="11" t="inlineStr">
        <is>
          <t>TK8</t>
        </is>
      </c>
      <c r="C57" s="12" t="inlineStr">
        <is>
          <t>MED</t>
        </is>
      </c>
      <c r="D57" s="10" t="inlineStr">
        <is>
          <t>Medanito</t>
        </is>
      </c>
      <c r="E57" s="13" t="n">
        <v>542.1660000000001</v>
      </c>
      <c r="F57" s="9">
        <f>IF((E54+E55+E56+E57)=0,0,E57/(E54+E55+E56+E57))</f>
        <v/>
      </c>
      <c r="G57" s="13" t="n">
        <v>462.627</v>
      </c>
      <c r="H57" s="9">
        <f>IF((G54+G55+G56+G57)=0,0,G57/(G54+G55+G56+G57))</f>
        <v/>
      </c>
    </row>
    <row r="58" ht="22" customHeight="1">
      <c r="A58" s="14" t="inlineStr"/>
      <c r="B58" s="15" t="inlineStr">
        <is>
          <t>TK8</t>
        </is>
      </c>
      <c r="C58" s="15" t="inlineStr">
        <is>
          <t>Total</t>
        </is>
      </c>
      <c r="D58" s="16" t="inlineStr">
        <is>
          <t>Total for TK8</t>
        </is>
      </c>
      <c r="E58" s="17">
        <f>E54+E55+E56+E57</f>
        <v/>
      </c>
      <c r="F58" s="18" t="n">
        <v>1</v>
      </c>
      <c r="G58" s="17">
        <f>G54+G55+G56+G57</f>
        <v/>
      </c>
      <c r="H58" s="18" t="n">
        <v>1</v>
      </c>
    </row>
    <row r="59" ht="26" customHeight="1">
      <c r="A59" s="20" t="inlineStr"/>
      <c r="B59" s="21" t="inlineStr">
        <is>
          <t>GRAND</t>
        </is>
      </c>
      <c r="C59" s="21" t="inlineStr">
        <is>
          <t>TOTAL</t>
        </is>
      </c>
      <c r="D59" s="22" t="inlineStr">
        <is>
          <t>All Tanks — All Crudes</t>
        </is>
      </c>
      <c r="E59" s="23">
        <f>E6+E7+E10+E11+E12+E13+E16+E17+E18+E19+E22+E23+E24+E27+E30+E31+E32+E33+E36+E37+E38+E39+E42+E45+E46+E47+E50+E51+E54+E55+E56+E57</f>
        <v/>
      </c>
      <c r="F59" s="24" t="n">
        <v>1</v>
      </c>
      <c r="G59" s="23">
        <f>G6+G7+G10+G11+G12+G13+G16+G17+G18+G19+G22+G23+G24+G27+G30+G31+G32+G33+G36+G37+G38+G39+G42+G45+G46+G47+G50+G51+G54+G55+G56+G57</f>
        <v/>
      </c>
      <c r="H59" s="24" t="n">
        <v>1</v>
      </c>
    </row>
  </sheetData>
  <mergeCells count="15">
    <mergeCell ref="A9:H9"/>
    <mergeCell ref="A1:H1"/>
    <mergeCell ref="A3:H3"/>
    <mergeCell ref="A21:H21"/>
    <mergeCell ref="A26:H26"/>
    <mergeCell ref="A53:H53"/>
    <mergeCell ref="A15:H15"/>
    <mergeCell ref="A29:H29"/>
    <mergeCell ref="A35:H35"/>
    <mergeCell ref="A2:H2"/>
    <mergeCell ref="A59"/>
    <mergeCell ref="A41:H41"/>
    <mergeCell ref="A49:H49"/>
    <mergeCell ref="A44:H44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2" customWidth="1" min="4" max="4"/>
    <col width="28" customWidth="1" min="5" max="5"/>
    <col width="8" customWidth="1" min="6" max="6"/>
    <col width="52" customWidth="1" min="7" max="7"/>
    <col width="14" customWidth="1" min="8" max="8"/>
    <col width="40" customWidth="1" min="9" max="9"/>
  </cols>
  <sheetData>
    <row r="1" ht="28" customHeight="1">
      <c r="A1" s="25" t="inlineStr">
        <is>
          <t>CRUDE INVENTORY BY TANK  —  KPI · TABLE · FORMULA REFERENCE  |  Click formula cell → see in fx bar</t>
        </is>
      </c>
    </row>
    <row r="2" ht="18" customHeight="1">
      <c r="A2" s="26" t="inlineStr">
        <is>
          <t>Legend:  ■ GREEN = SUM formula   ■ YELLOW = IF-based % share formula   ■ ORANGE = Grand Total SUM across all tanks   ■ GREY = Literal value (1 = 100%)</t>
        </is>
      </c>
    </row>
    <row r="3" ht="38" customHeight="1">
      <c r="A3" s="27" t="inlineStr">
        <is>
          <t>#</t>
        </is>
      </c>
      <c r="B3" s="27" t="inlineStr">
        <is>
          <t>Tank
(Table)</t>
        </is>
      </c>
      <c r="C3" s="27" t="inlineStr">
        <is>
          <t>Crude
Code</t>
        </is>
      </c>
      <c r="D3" s="27" t="inlineStr">
        <is>
          <t>Crude Description</t>
        </is>
      </c>
      <c r="E3" s="27" t="inlineStr">
        <is>
          <t>KPI Name</t>
        </is>
      </c>
      <c r="F3" s="27" t="inlineStr">
        <is>
          <t>KPI
Col</t>
        </is>
      </c>
      <c r="G3" s="27" t="inlineStr">
        <is>
          <t>Formula
(Live — click to see in fx bar)</t>
        </is>
      </c>
      <c r="H3" s="27" t="inlineStr">
        <is>
          <t>Formula
Type</t>
        </is>
      </c>
      <c r="I3" s="27" t="inlineStr">
        <is>
          <t>Formula Logic</t>
        </is>
      </c>
    </row>
    <row r="4" ht="22" customHeight="1">
      <c r="A4" s="28" t="n">
        <v>1</v>
      </c>
      <c r="B4" s="28" t="inlineStr">
        <is>
          <t>TK13</t>
        </is>
      </c>
      <c r="C4" s="28" t="inlineStr">
        <is>
          <t>ANS</t>
        </is>
      </c>
      <c r="D4" s="29" t="inlineStr">
        <is>
          <t>Alaskan North Slope</t>
        </is>
      </c>
      <c r="E4" s="30" t="inlineStr">
        <is>
          <t>Opening Volume (MB)</t>
        </is>
      </c>
      <c r="F4" s="28" t="inlineStr">
        <is>
          <t>E</t>
        </is>
      </c>
      <c r="G4" s="31">
        <f>'Crude Inventory (Live Formulas)'!E6</f>
        <v/>
      </c>
      <c r="H4" s="32" t="inlineStr">
        <is>
          <t>Raw Value (cross-ref)</t>
        </is>
      </c>
      <c r="I4" s="33" t="inlineStr">
        <is>
          <t>Raw measured volume sourced directly from AORA Mass Balance System</t>
        </is>
      </c>
    </row>
    <row r="5" ht="22" customHeight="1">
      <c r="A5" s="34" t="inlineStr"/>
      <c r="B5" s="34" t="inlineStr"/>
      <c r="C5" s="34" t="inlineStr"/>
      <c r="D5" s="29" t="inlineStr"/>
      <c r="E5" s="30" t="inlineStr">
        <is>
          <t>Opening % (share)</t>
        </is>
      </c>
      <c r="F5" s="28" t="inlineStr">
        <is>
          <t>F</t>
        </is>
      </c>
      <c r="G5" s="35">
        <f>IF(('Crude Inventory (Live Formulas)'!E6+E7)=0,0,'Crude Inventory (Live Formulas)'!E6/('Crude Inventory (Live Formulas)'!E6+E7))</f>
        <v/>
      </c>
      <c r="H5" s="36" t="inlineStr">
        <is>
          <t>IF / Division</t>
        </is>
      </c>
      <c r="I5" s="33" t="inlineStr">
        <is>
          <t>Crude's share of tank total opening vol. =0 if tank empty.</t>
        </is>
      </c>
    </row>
    <row r="6" ht="22" customHeight="1">
      <c r="A6" s="34" t="inlineStr"/>
      <c r="B6" s="34" t="inlineStr"/>
      <c r="C6" s="34" t="inlineStr"/>
      <c r="D6" s="29" t="inlineStr"/>
      <c r="E6" s="30" t="inlineStr">
        <is>
          <t>Closing Volume (MB)</t>
        </is>
      </c>
      <c r="F6" s="28" t="inlineStr">
        <is>
          <t>G</t>
        </is>
      </c>
      <c r="G6" s="31">
        <f>'Crude Inventory (Live Formulas)'!G6</f>
        <v/>
      </c>
      <c r="H6" s="32" t="inlineStr">
        <is>
          <t>Raw Value (cross-ref)</t>
        </is>
      </c>
      <c r="I6" s="33" t="inlineStr">
        <is>
          <t>Raw measured volume sourced directly from AORA Mass Balance System</t>
        </is>
      </c>
    </row>
    <row r="7" ht="22" customHeight="1">
      <c r="A7" s="34" t="inlineStr"/>
      <c r="B7" s="34" t="inlineStr"/>
      <c r="C7" s="34" t="inlineStr"/>
      <c r="D7" s="29" t="inlineStr"/>
      <c r="E7" s="30" t="inlineStr">
        <is>
          <t>Closing % (share)</t>
        </is>
      </c>
      <c r="F7" s="28" t="inlineStr">
        <is>
          <t>H</t>
        </is>
      </c>
      <c r="G7" s="35">
        <f>IF(('Crude Inventory (Live Formulas)'!G6+G7)=0,0,'Crude Inventory (Live Formulas)'!G6/('Crude Inventory (Live Formulas)'!G6+G7))</f>
        <v/>
      </c>
      <c r="H7" s="36" t="inlineStr">
        <is>
          <t>IF / Division</t>
        </is>
      </c>
      <c r="I7" s="33" t="inlineStr">
        <is>
          <t>Crude's share of tank total closing vol. =0 if tank empty.</t>
        </is>
      </c>
    </row>
    <row r="8" ht="22" customHeight="1">
      <c r="A8" s="28" t="n">
        <v>2</v>
      </c>
      <c r="B8" s="28" t="inlineStr">
        <is>
          <t>TK13</t>
        </is>
      </c>
      <c r="C8" s="28" t="inlineStr">
        <is>
          <t>MED</t>
        </is>
      </c>
      <c r="D8" s="29" t="inlineStr">
        <is>
          <t>Medanito</t>
        </is>
      </c>
      <c r="E8" s="30" t="inlineStr">
        <is>
          <t>Opening Volume (MB)</t>
        </is>
      </c>
      <c r="F8" s="28" t="inlineStr">
        <is>
          <t>E</t>
        </is>
      </c>
      <c r="G8" s="31">
        <f>'Crude Inventory (Live Formulas)'!E7</f>
        <v/>
      </c>
      <c r="H8" s="32" t="inlineStr">
        <is>
          <t>Raw Value (cross-ref)</t>
        </is>
      </c>
      <c r="I8" s="33" t="inlineStr">
        <is>
          <t>Raw measured volume sourced directly from AORA Mass Balance System</t>
        </is>
      </c>
    </row>
    <row r="9" ht="22" customHeight="1">
      <c r="A9" s="34" t="inlineStr"/>
      <c r="B9" s="34" t="inlineStr"/>
      <c r="C9" s="34" t="inlineStr"/>
      <c r="D9" s="29" t="inlineStr"/>
      <c r="E9" s="30" t="inlineStr">
        <is>
          <t>Opening % (share)</t>
        </is>
      </c>
      <c r="F9" s="28" t="inlineStr">
        <is>
          <t>F</t>
        </is>
      </c>
      <c r="G9" s="35">
        <f>IF(('Crude Inventory (Live Formulas)'!E6+E7)=0,0,'Crude Inventory (Live Formulas)'!E7/('Crude Inventory (Live Formulas)'!E6+E7))</f>
        <v/>
      </c>
      <c r="H9" s="36" t="inlineStr">
        <is>
          <t>IF / Division</t>
        </is>
      </c>
      <c r="I9" s="33" t="inlineStr">
        <is>
          <t>Crude's share of tank total opening vol. =0 if tank empty.</t>
        </is>
      </c>
    </row>
    <row r="10" ht="22" customHeight="1">
      <c r="A10" s="34" t="inlineStr"/>
      <c r="B10" s="34" t="inlineStr"/>
      <c r="C10" s="34" t="inlineStr"/>
      <c r="D10" s="29" t="inlineStr"/>
      <c r="E10" s="30" t="inlineStr">
        <is>
          <t>Closing Volume (MB)</t>
        </is>
      </c>
      <c r="F10" s="28" t="inlineStr">
        <is>
          <t>G</t>
        </is>
      </c>
      <c r="G10" s="31">
        <f>'Crude Inventory (Live Formulas)'!G7</f>
        <v/>
      </c>
      <c r="H10" s="32" t="inlineStr">
        <is>
          <t>Raw Value (cross-ref)</t>
        </is>
      </c>
      <c r="I10" s="33" t="inlineStr">
        <is>
          <t>Raw measured volume sourced directly from AORA Mass Balance System</t>
        </is>
      </c>
    </row>
    <row r="11" ht="22" customHeight="1">
      <c r="A11" s="34" t="inlineStr"/>
      <c r="B11" s="34" t="inlineStr"/>
      <c r="C11" s="34" t="inlineStr"/>
      <c r="D11" s="29" t="inlineStr"/>
      <c r="E11" s="30" t="inlineStr">
        <is>
          <t>Closing % (share)</t>
        </is>
      </c>
      <c r="F11" s="28" t="inlineStr">
        <is>
          <t>H</t>
        </is>
      </c>
      <c r="G11" s="35">
        <f>IF(('Crude Inventory (Live Formulas)'!G6+G7)=0,0,'Crude Inventory (Live Formulas)'!G7/('Crude Inventory (Live Formulas)'!G6+G7))</f>
        <v/>
      </c>
      <c r="H11" s="36" t="inlineStr">
        <is>
          <t>IF / Division</t>
        </is>
      </c>
      <c r="I11" s="33" t="inlineStr">
        <is>
          <t>Crude's share of tank total closing vol. =0 if tank empty.</t>
        </is>
      </c>
    </row>
    <row r="12" ht="22" customHeight="1">
      <c r="A12" s="37" t="n">
        <v>3</v>
      </c>
      <c r="B12" s="37" t="inlineStr">
        <is>
          <t>TK13</t>
        </is>
      </c>
      <c r="C12" s="37" t="inlineStr">
        <is>
          <t>TOTAL</t>
        </is>
      </c>
      <c r="D12" s="38" t="inlineStr">
        <is>
          <t>Total for TK13</t>
        </is>
      </c>
      <c r="E12" s="38" t="inlineStr">
        <is>
          <t>Opening Volume Total (MB)</t>
        </is>
      </c>
      <c r="F12" s="37" t="inlineStr">
        <is>
          <t>E</t>
        </is>
      </c>
      <c r="G12" s="39">
        <f>'Crude Inventory (Live Formulas)'!E6+E7</f>
        <v/>
      </c>
      <c r="H12" s="40" t="inlineStr">
        <is>
          <t>SUM</t>
        </is>
      </c>
      <c r="I12" s="41" t="inlineStr">
        <is>
          <t>Sum of all crude volumes in this tank group</t>
        </is>
      </c>
    </row>
    <row r="13" ht="22" customHeight="1">
      <c r="A13" s="7" t="n">
        <v>4</v>
      </c>
      <c r="B13" s="7" t="inlineStr">
        <is>
          <t>TK16</t>
        </is>
      </c>
      <c r="C13" s="7" t="inlineStr">
        <is>
          <t>ANS</t>
        </is>
      </c>
      <c r="D13" s="6" t="inlineStr">
        <is>
          <t>Alaskan North Slope</t>
        </is>
      </c>
      <c r="E13" s="42" t="inlineStr">
        <is>
          <t>Opening Volume (MB)</t>
        </is>
      </c>
      <c r="F13" s="7" t="inlineStr">
        <is>
          <t>E</t>
        </is>
      </c>
      <c r="G13" s="31">
        <f>'Crude Inventory (Live Formulas)'!E10</f>
        <v/>
      </c>
      <c r="H13" s="32" t="inlineStr">
        <is>
          <t>Raw Value (cross-ref)</t>
        </is>
      </c>
      <c r="I13" s="43" t="inlineStr">
        <is>
          <t>Raw measured volume sourced directly from AORA Mass Balance System</t>
        </is>
      </c>
    </row>
    <row r="14" ht="22" customHeight="1">
      <c r="A14" s="19" t="inlineStr"/>
      <c r="B14" s="19" t="inlineStr"/>
      <c r="C14" s="19" t="inlineStr"/>
      <c r="D14" s="6" t="inlineStr"/>
      <c r="E14" s="42" t="inlineStr">
        <is>
          <t>Opening % (share)</t>
        </is>
      </c>
      <c r="F14" s="7" t="inlineStr">
        <is>
          <t>F</t>
        </is>
      </c>
      <c r="G14" s="35">
        <f>IF(('Crude Inventory (Live Formulas)'!E10+E11+E12+E13)=0,0,'Crude Inventory (Live Formulas)'!E10/('Crude Inventory (Live Formulas)'!E10+E11+E12+E13))</f>
        <v/>
      </c>
      <c r="H14" s="36" t="inlineStr">
        <is>
          <t>IF / Division</t>
        </is>
      </c>
      <c r="I14" s="43" t="inlineStr">
        <is>
          <t>Crude's share of tank total opening vol. =0 if tank empty.</t>
        </is>
      </c>
    </row>
    <row r="15" ht="22" customHeight="1">
      <c r="A15" s="19" t="inlineStr"/>
      <c r="B15" s="19" t="inlineStr"/>
      <c r="C15" s="19" t="inlineStr"/>
      <c r="D15" s="6" t="inlineStr"/>
      <c r="E15" s="42" t="inlineStr">
        <is>
          <t>Closing Volume (MB)</t>
        </is>
      </c>
      <c r="F15" s="7" t="inlineStr">
        <is>
          <t>G</t>
        </is>
      </c>
      <c r="G15" s="31">
        <f>'Crude Inventory (Live Formulas)'!G10</f>
        <v/>
      </c>
      <c r="H15" s="32" t="inlineStr">
        <is>
          <t>Raw Value (cross-ref)</t>
        </is>
      </c>
      <c r="I15" s="43" t="inlineStr">
        <is>
          <t>Raw measured volume sourced directly from AORA Mass Balance System</t>
        </is>
      </c>
    </row>
    <row r="16" ht="22" customHeight="1">
      <c r="A16" s="19" t="inlineStr"/>
      <c r="B16" s="19" t="inlineStr"/>
      <c r="C16" s="19" t="inlineStr"/>
      <c r="D16" s="6" t="inlineStr"/>
      <c r="E16" s="42" t="inlineStr">
        <is>
          <t>Closing % (share)</t>
        </is>
      </c>
      <c r="F16" s="7" t="inlineStr">
        <is>
          <t>H</t>
        </is>
      </c>
      <c r="G16" s="35">
        <f>IF(('Crude Inventory (Live Formulas)'!G10+G11+G12+G13)=0,0,'Crude Inventory (Live Formulas)'!G10/('Crude Inventory (Live Formulas)'!G10+G11+G12+G13))</f>
        <v/>
      </c>
      <c r="H16" s="36" t="inlineStr">
        <is>
          <t>IF / Division</t>
        </is>
      </c>
      <c r="I16" s="43" t="inlineStr">
        <is>
          <t>Crude's share of tank total closing vol. =0 if tank empty.</t>
        </is>
      </c>
    </row>
    <row r="17" ht="22" customHeight="1">
      <c r="A17" s="7" t="n">
        <v>5</v>
      </c>
      <c r="B17" s="7" t="inlineStr">
        <is>
          <t>TK16</t>
        </is>
      </c>
      <c r="C17" s="7" t="inlineStr">
        <is>
          <t>IRA</t>
        </is>
      </c>
      <c r="D17" s="6" t="inlineStr">
        <is>
          <t>Iracema</t>
        </is>
      </c>
      <c r="E17" s="42" t="inlineStr">
        <is>
          <t>Opening Volume (MB)</t>
        </is>
      </c>
      <c r="F17" s="7" t="inlineStr">
        <is>
          <t>E</t>
        </is>
      </c>
      <c r="G17" s="31">
        <f>'Crude Inventory (Live Formulas)'!E11</f>
        <v/>
      </c>
      <c r="H17" s="32" t="inlineStr">
        <is>
          <t>Raw Value (cross-ref)</t>
        </is>
      </c>
      <c r="I17" s="43" t="inlineStr">
        <is>
          <t>Raw measured volume sourced directly from AORA Mass Balance System</t>
        </is>
      </c>
    </row>
    <row r="18" ht="22" customHeight="1">
      <c r="A18" s="19" t="inlineStr"/>
      <c r="B18" s="19" t="inlineStr"/>
      <c r="C18" s="19" t="inlineStr"/>
      <c r="D18" s="6" t="inlineStr"/>
      <c r="E18" s="42" t="inlineStr">
        <is>
          <t>Opening % (share)</t>
        </is>
      </c>
      <c r="F18" s="7" t="inlineStr">
        <is>
          <t>F</t>
        </is>
      </c>
      <c r="G18" s="35">
        <f>IF(('Crude Inventory (Live Formulas)'!E10+E11+E12+E13)=0,0,'Crude Inventory (Live Formulas)'!E11/('Crude Inventory (Live Formulas)'!E10+E11+E12+E13))</f>
        <v/>
      </c>
      <c r="H18" s="36" t="inlineStr">
        <is>
          <t>IF / Division</t>
        </is>
      </c>
      <c r="I18" s="43" t="inlineStr">
        <is>
          <t>Crude's share of tank total opening vol. =0 if tank empty.</t>
        </is>
      </c>
    </row>
    <row r="19" ht="22" customHeight="1">
      <c r="A19" s="19" t="inlineStr"/>
      <c r="B19" s="19" t="inlineStr"/>
      <c r="C19" s="19" t="inlineStr"/>
      <c r="D19" s="6" t="inlineStr"/>
      <c r="E19" s="42" t="inlineStr">
        <is>
          <t>Closing Volume (MB)</t>
        </is>
      </c>
      <c r="F19" s="7" t="inlineStr">
        <is>
          <t>G</t>
        </is>
      </c>
      <c r="G19" s="31">
        <f>'Crude Inventory (Live Formulas)'!G11</f>
        <v/>
      </c>
      <c r="H19" s="32" t="inlineStr">
        <is>
          <t>Raw Value (cross-ref)</t>
        </is>
      </c>
      <c r="I19" s="43" t="inlineStr">
        <is>
          <t>Raw measured volume sourced directly from AORA Mass Balance System</t>
        </is>
      </c>
    </row>
    <row r="20" ht="22" customHeight="1">
      <c r="A20" s="19" t="inlineStr"/>
      <c r="B20" s="19" t="inlineStr"/>
      <c r="C20" s="19" t="inlineStr"/>
      <c r="D20" s="6" t="inlineStr"/>
      <c r="E20" s="42" t="inlineStr">
        <is>
          <t>Closing % (share)</t>
        </is>
      </c>
      <c r="F20" s="7" t="inlineStr">
        <is>
          <t>H</t>
        </is>
      </c>
      <c r="G20" s="35">
        <f>IF(('Crude Inventory (Live Formulas)'!G10+G11+G12+G13)=0,0,'Crude Inventory (Live Formulas)'!G11/('Crude Inventory (Live Formulas)'!G10+G11+G12+G13))</f>
        <v/>
      </c>
      <c r="H20" s="36" t="inlineStr">
        <is>
          <t>IF / Division</t>
        </is>
      </c>
      <c r="I20" s="43" t="inlineStr">
        <is>
          <t>Crude's share of tank total closing vol. =0 if tank empty.</t>
        </is>
      </c>
    </row>
    <row r="21" ht="22" customHeight="1">
      <c r="A21" s="7" t="n">
        <v>6</v>
      </c>
      <c r="B21" s="7" t="inlineStr">
        <is>
          <t>TK16</t>
        </is>
      </c>
      <c r="C21" s="7" t="inlineStr">
        <is>
          <t>LUL</t>
        </is>
      </c>
      <c r="D21" s="6" t="inlineStr">
        <is>
          <t>Tupi (Lula)</t>
        </is>
      </c>
      <c r="E21" s="42" t="inlineStr">
        <is>
          <t>Opening Volume (MB)</t>
        </is>
      </c>
      <c r="F21" s="7" t="inlineStr">
        <is>
          <t>E</t>
        </is>
      </c>
      <c r="G21" s="31">
        <f>'Crude Inventory (Live Formulas)'!E12</f>
        <v/>
      </c>
      <c r="H21" s="32" t="inlineStr">
        <is>
          <t>Raw Value (cross-ref)</t>
        </is>
      </c>
      <c r="I21" s="43" t="inlineStr">
        <is>
          <t>Raw measured volume sourced directly from AORA Mass Balance System</t>
        </is>
      </c>
    </row>
    <row r="22" ht="22" customHeight="1">
      <c r="A22" s="19" t="inlineStr"/>
      <c r="B22" s="19" t="inlineStr"/>
      <c r="C22" s="19" t="inlineStr"/>
      <c r="D22" s="6" t="inlineStr"/>
      <c r="E22" s="42" t="inlineStr">
        <is>
          <t>Opening % (share)</t>
        </is>
      </c>
      <c r="F22" s="7" t="inlineStr">
        <is>
          <t>F</t>
        </is>
      </c>
      <c r="G22" s="35">
        <f>IF(('Crude Inventory (Live Formulas)'!E10+E11+E12+E13)=0,0,'Crude Inventory (Live Formulas)'!E12/('Crude Inventory (Live Formulas)'!E10+E11+E12+E13))</f>
        <v/>
      </c>
      <c r="H22" s="36" t="inlineStr">
        <is>
          <t>IF / Division</t>
        </is>
      </c>
      <c r="I22" s="43" t="inlineStr">
        <is>
          <t>Crude's share of tank total opening vol. =0 if tank empty.</t>
        </is>
      </c>
    </row>
    <row r="23" ht="22" customHeight="1">
      <c r="A23" s="19" t="inlineStr"/>
      <c r="B23" s="19" t="inlineStr"/>
      <c r="C23" s="19" t="inlineStr"/>
      <c r="D23" s="6" t="inlineStr"/>
      <c r="E23" s="42" t="inlineStr">
        <is>
          <t>Closing Volume (MB)</t>
        </is>
      </c>
      <c r="F23" s="7" t="inlineStr">
        <is>
          <t>G</t>
        </is>
      </c>
      <c r="G23" s="31">
        <f>'Crude Inventory (Live Formulas)'!G12</f>
        <v/>
      </c>
      <c r="H23" s="32" t="inlineStr">
        <is>
          <t>Raw Value (cross-ref)</t>
        </is>
      </c>
      <c r="I23" s="43" t="inlineStr">
        <is>
          <t>Raw measured volume sourced directly from AORA Mass Balance System</t>
        </is>
      </c>
    </row>
    <row r="24" ht="22" customHeight="1">
      <c r="A24" s="19" t="inlineStr"/>
      <c r="B24" s="19" t="inlineStr"/>
      <c r="C24" s="19" t="inlineStr"/>
      <c r="D24" s="6" t="inlineStr"/>
      <c r="E24" s="42" t="inlineStr">
        <is>
          <t>Closing % (share)</t>
        </is>
      </c>
      <c r="F24" s="7" t="inlineStr">
        <is>
          <t>H</t>
        </is>
      </c>
      <c r="G24" s="35">
        <f>IF(('Crude Inventory (Live Formulas)'!G10+G11+G12+G13)=0,0,'Crude Inventory (Live Formulas)'!G12/('Crude Inventory (Live Formulas)'!G10+G11+G12+G13))</f>
        <v/>
      </c>
      <c r="H24" s="36" t="inlineStr">
        <is>
          <t>IF / Division</t>
        </is>
      </c>
      <c r="I24" s="43" t="inlineStr">
        <is>
          <t>Crude's share of tank total closing vol. =0 if tank empty.</t>
        </is>
      </c>
    </row>
    <row r="25" ht="22" customHeight="1">
      <c r="A25" s="7" t="n">
        <v>7</v>
      </c>
      <c r="B25" s="7" t="inlineStr">
        <is>
          <t>TK16</t>
        </is>
      </c>
      <c r="C25" s="7" t="inlineStr">
        <is>
          <t>MRO</t>
        </is>
      </c>
      <c r="D25" s="6" t="inlineStr">
        <is>
          <t>Mero</t>
        </is>
      </c>
      <c r="E25" s="42" t="inlineStr">
        <is>
          <t>Opening Volume (MB)</t>
        </is>
      </c>
      <c r="F25" s="7" t="inlineStr">
        <is>
          <t>E</t>
        </is>
      </c>
      <c r="G25" s="31">
        <f>'Crude Inventory (Live Formulas)'!E13</f>
        <v/>
      </c>
      <c r="H25" s="32" t="inlineStr">
        <is>
          <t>Raw Value (cross-ref)</t>
        </is>
      </c>
      <c r="I25" s="43" t="inlineStr">
        <is>
          <t>Raw measured volume sourced directly from AORA Mass Balance System</t>
        </is>
      </c>
    </row>
    <row r="26" ht="22" customHeight="1">
      <c r="A26" s="19" t="inlineStr"/>
      <c r="B26" s="19" t="inlineStr"/>
      <c r="C26" s="19" t="inlineStr"/>
      <c r="D26" s="6" t="inlineStr"/>
      <c r="E26" s="42" t="inlineStr">
        <is>
          <t>Opening % (share)</t>
        </is>
      </c>
      <c r="F26" s="7" t="inlineStr">
        <is>
          <t>F</t>
        </is>
      </c>
      <c r="G26" s="35">
        <f>IF(('Crude Inventory (Live Formulas)'!E10+E11+E12+E13)=0,0,'Crude Inventory (Live Formulas)'!E13/('Crude Inventory (Live Formulas)'!E10+E11+E12+E13))</f>
        <v/>
      </c>
      <c r="H26" s="36" t="inlineStr">
        <is>
          <t>IF / Division</t>
        </is>
      </c>
      <c r="I26" s="43" t="inlineStr">
        <is>
          <t>Crude's share of tank total opening vol. =0 if tank empty.</t>
        </is>
      </c>
    </row>
    <row r="27" ht="22" customHeight="1">
      <c r="A27" s="19" t="inlineStr"/>
      <c r="B27" s="19" t="inlineStr"/>
      <c r="C27" s="19" t="inlineStr"/>
      <c r="D27" s="6" t="inlineStr"/>
      <c r="E27" s="42" t="inlineStr">
        <is>
          <t>Closing Volume (MB)</t>
        </is>
      </c>
      <c r="F27" s="7" t="inlineStr">
        <is>
          <t>G</t>
        </is>
      </c>
      <c r="G27" s="31">
        <f>'Crude Inventory (Live Formulas)'!G13</f>
        <v/>
      </c>
      <c r="H27" s="32" t="inlineStr">
        <is>
          <t>Raw Value (cross-ref)</t>
        </is>
      </c>
      <c r="I27" s="43" t="inlineStr">
        <is>
          <t>Raw measured volume sourced directly from AORA Mass Balance System</t>
        </is>
      </c>
    </row>
    <row r="28" ht="22" customHeight="1">
      <c r="A28" s="19" t="inlineStr"/>
      <c r="B28" s="19" t="inlineStr"/>
      <c r="C28" s="19" t="inlineStr"/>
      <c r="D28" s="6" t="inlineStr"/>
      <c r="E28" s="42" t="inlineStr">
        <is>
          <t>Closing % (share)</t>
        </is>
      </c>
      <c r="F28" s="7" t="inlineStr">
        <is>
          <t>H</t>
        </is>
      </c>
      <c r="G28" s="35">
        <f>IF(('Crude Inventory (Live Formulas)'!G10+G11+G12+G13)=0,0,'Crude Inventory (Live Formulas)'!G13/('Crude Inventory (Live Formulas)'!G10+G11+G12+G13))</f>
        <v/>
      </c>
      <c r="H28" s="36" t="inlineStr">
        <is>
          <t>IF / Division</t>
        </is>
      </c>
      <c r="I28" s="43" t="inlineStr">
        <is>
          <t>Crude's share of tank total closing vol. =0 if tank empty.</t>
        </is>
      </c>
    </row>
    <row r="29" ht="22" customHeight="1">
      <c r="A29" s="37" t="n">
        <v>8</v>
      </c>
      <c r="B29" s="37" t="inlineStr">
        <is>
          <t>TK16</t>
        </is>
      </c>
      <c r="C29" s="37" t="inlineStr">
        <is>
          <t>TOTAL</t>
        </is>
      </c>
      <c r="D29" s="38" t="inlineStr">
        <is>
          <t>Total for TK16</t>
        </is>
      </c>
      <c r="E29" s="38" t="inlineStr">
        <is>
          <t>Opening Volume Total (MB)</t>
        </is>
      </c>
      <c r="F29" s="37" t="inlineStr">
        <is>
          <t>E</t>
        </is>
      </c>
      <c r="G29" s="39">
        <f>'Crude Inventory (Live Formulas)'!E10+E11+E12+E13</f>
        <v/>
      </c>
      <c r="H29" s="40" t="inlineStr">
        <is>
          <t>SUM</t>
        </is>
      </c>
      <c r="I29" s="41" t="inlineStr">
        <is>
          <t>Sum of all crude volumes in this tank group</t>
        </is>
      </c>
    </row>
    <row r="30" ht="22" customHeight="1">
      <c r="A30" s="28" t="n">
        <v>9</v>
      </c>
      <c r="B30" s="28" t="inlineStr">
        <is>
          <t>TK17</t>
        </is>
      </c>
      <c r="C30" s="28" t="inlineStr">
        <is>
          <t>ANS</t>
        </is>
      </c>
      <c r="D30" s="29" t="inlineStr">
        <is>
          <t>Alaskan North Slope</t>
        </is>
      </c>
      <c r="E30" s="30" t="inlineStr">
        <is>
          <t>Opening Volume (MB)</t>
        </is>
      </c>
      <c r="F30" s="28" t="inlineStr">
        <is>
          <t>E</t>
        </is>
      </c>
      <c r="G30" s="31">
        <f>'Crude Inventory (Live Formulas)'!E16</f>
        <v/>
      </c>
      <c r="H30" s="32" t="inlineStr">
        <is>
          <t>Raw Value (cross-ref)</t>
        </is>
      </c>
      <c r="I30" s="33" t="inlineStr">
        <is>
          <t>Raw measured volume sourced directly from AORA Mass Balance System</t>
        </is>
      </c>
    </row>
    <row r="31" ht="22" customHeight="1">
      <c r="A31" s="34" t="inlineStr"/>
      <c r="B31" s="34" t="inlineStr"/>
      <c r="C31" s="34" t="inlineStr"/>
      <c r="D31" s="29" t="inlineStr"/>
      <c r="E31" s="30" t="inlineStr">
        <is>
          <t>Opening % (share)</t>
        </is>
      </c>
      <c r="F31" s="28" t="inlineStr">
        <is>
          <t>F</t>
        </is>
      </c>
      <c r="G31" s="35">
        <f>IF(('Crude Inventory (Live Formulas)'!E16+E17+E18+E19)=0,0,'Crude Inventory (Live Formulas)'!E16/('Crude Inventory (Live Formulas)'!E16+E17+E18+E19))</f>
        <v/>
      </c>
      <c r="H31" s="36" t="inlineStr">
        <is>
          <t>IF / Division</t>
        </is>
      </c>
      <c r="I31" s="33" t="inlineStr">
        <is>
          <t>Crude's share of tank total opening vol. =0 if tank empty.</t>
        </is>
      </c>
    </row>
    <row r="32" ht="22" customHeight="1">
      <c r="A32" s="34" t="inlineStr"/>
      <c r="B32" s="34" t="inlineStr"/>
      <c r="C32" s="34" t="inlineStr"/>
      <c r="D32" s="29" t="inlineStr"/>
      <c r="E32" s="30" t="inlineStr">
        <is>
          <t>Closing Volume (MB)</t>
        </is>
      </c>
      <c r="F32" s="28" t="inlineStr">
        <is>
          <t>G</t>
        </is>
      </c>
      <c r="G32" s="31">
        <f>'Crude Inventory (Live Formulas)'!G16</f>
        <v/>
      </c>
      <c r="H32" s="32" t="inlineStr">
        <is>
          <t>Raw Value (cross-ref)</t>
        </is>
      </c>
      <c r="I32" s="33" t="inlineStr">
        <is>
          <t>Raw measured volume sourced directly from AORA Mass Balance System</t>
        </is>
      </c>
    </row>
    <row r="33" ht="22" customHeight="1">
      <c r="A33" s="34" t="inlineStr"/>
      <c r="B33" s="34" t="inlineStr"/>
      <c r="C33" s="34" t="inlineStr"/>
      <c r="D33" s="29" t="inlineStr"/>
      <c r="E33" s="30" t="inlineStr">
        <is>
          <t>Closing % (share)</t>
        </is>
      </c>
      <c r="F33" s="28" t="inlineStr">
        <is>
          <t>H</t>
        </is>
      </c>
      <c r="G33" s="35">
        <f>IF(('Crude Inventory (Live Formulas)'!G16+G17+G18+G19)=0,0,'Crude Inventory (Live Formulas)'!G16/('Crude Inventory (Live Formulas)'!G16+G17+G18+G19))</f>
        <v/>
      </c>
      <c r="H33" s="36" t="inlineStr">
        <is>
          <t>IF / Division</t>
        </is>
      </c>
      <c r="I33" s="33" t="inlineStr">
        <is>
          <t>Crude's share of tank total closing vol. =0 if tank empty.</t>
        </is>
      </c>
    </row>
    <row r="34" ht="22" customHeight="1">
      <c r="A34" s="28" t="n">
        <v>10</v>
      </c>
      <c r="B34" s="28" t="inlineStr">
        <is>
          <t>TK17</t>
        </is>
      </c>
      <c r="C34" s="28" t="inlineStr">
        <is>
          <t>IRA</t>
        </is>
      </c>
      <c r="D34" s="29" t="inlineStr">
        <is>
          <t>Iracema</t>
        </is>
      </c>
      <c r="E34" s="30" t="inlineStr">
        <is>
          <t>Opening Volume (MB)</t>
        </is>
      </c>
      <c r="F34" s="28" t="inlineStr">
        <is>
          <t>E</t>
        </is>
      </c>
      <c r="G34" s="31">
        <f>'Crude Inventory (Live Formulas)'!E17</f>
        <v/>
      </c>
      <c r="H34" s="32" t="inlineStr">
        <is>
          <t>Raw Value (cross-ref)</t>
        </is>
      </c>
      <c r="I34" s="33" t="inlineStr">
        <is>
          <t>Raw measured volume sourced directly from AORA Mass Balance System</t>
        </is>
      </c>
    </row>
    <row r="35" ht="22" customHeight="1">
      <c r="A35" s="34" t="inlineStr"/>
      <c r="B35" s="34" t="inlineStr"/>
      <c r="C35" s="34" t="inlineStr"/>
      <c r="D35" s="29" t="inlineStr"/>
      <c r="E35" s="30" t="inlineStr">
        <is>
          <t>Opening % (share)</t>
        </is>
      </c>
      <c r="F35" s="28" t="inlineStr">
        <is>
          <t>F</t>
        </is>
      </c>
      <c r="G35" s="35">
        <f>IF(('Crude Inventory (Live Formulas)'!E16+E17+E18+E19)=0,0,'Crude Inventory (Live Formulas)'!E17/('Crude Inventory (Live Formulas)'!E16+E17+E18+E19))</f>
        <v/>
      </c>
      <c r="H35" s="36" t="inlineStr">
        <is>
          <t>IF / Division</t>
        </is>
      </c>
      <c r="I35" s="33" t="inlineStr">
        <is>
          <t>Crude's share of tank total opening vol. =0 if tank empty.</t>
        </is>
      </c>
    </row>
    <row r="36" ht="22" customHeight="1">
      <c r="A36" s="34" t="inlineStr"/>
      <c r="B36" s="34" t="inlineStr"/>
      <c r="C36" s="34" t="inlineStr"/>
      <c r="D36" s="29" t="inlineStr"/>
      <c r="E36" s="30" t="inlineStr">
        <is>
          <t>Closing Volume (MB)</t>
        </is>
      </c>
      <c r="F36" s="28" t="inlineStr">
        <is>
          <t>G</t>
        </is>
      </c>
      <c r="G36" s="31">
        <f>'Crude Inventory (Live Formulas)'!G17</f>
        <v/>
      </c>
      <c r="H36" s="32" t="inlineStr">
        <is>
          <t>Raw Value (cross-ref)</t>
        </is>
      </c>
      <c r="I36" s="33" t="inlineStr">
        <is>
          <t>Raw measured volume sourced directly from AORA Mass Balance System</t>
        </is>
      </c>
    </row>
    <row r="37" ht="22" customHeight="1">
      <c r="A37" s="34" t="inlineStr"/>
      <c r="B37" s="34" t="inlineStr"/>
      <c r="C37" s="34" t="inlineStr"/>
      <c r="D37" s="29" t="inlineStr"/>
      <c r="E37" s="30" t="inlineStr">
        <is>
          <t>Closing % (share)</t>
        </is>
      </c>
      <c r="F37" s="28" t="inlineStr">
        <is>
          <t>H</t>
        </is>
      </c>
      <c r="G37" s="35">
        <f>IF(('Crude Inventory (Live Formulas)'!G16+G17+G18+G19)=0,0,'Crude Inventory (Live Formulas)'!G17/('Crude Inventory (Live Formulas)'!G16+G17+G18+G19))</f>
        <v/>
      </c>
      <c r="H37" s="36" t="inlineStr">
        <is>
          <t>IF / Division</t>
        </is>
      </c>
      <c r="I37" s="33" t="inlineStr">
        <is>
          <t>Crude's share of tank total closing vol. =0 if tank empty.</t>
        </is>
      </c>
    </row>
    <row r="38" ht="22" customHeight="1">
      <c r="A38" s="28" t="n">
        <v>11</v>
      </c>
      <c r="B38" s="28" t="inlineStr">
        <is>
          <t>TK17</t>
        </is>
      </c>
      <c r="C38" s="28" t="inlineStr">
        <is>
          <t>LUL</t>
        </is>
      </c>
      <c r="D38" s="29" t="inlineStr">
        <is>
          <t>Tupi (Lula)</t>
        </is>
      </c>
      <c r="E38" s="30" t="inlineStr">
        <is>
          <t>Opening Volume (MB)</t>
        </is>
      </c>
      <c r="F38" s="28" t="inlineStr">
        <is>
          <t>E</t>
        </is>
      </c>
      <c r="G38" s="31">
        <f>'Crude Inventory (Live Formulas)'!E18</f>
        <v/>
      </c>
      <c r="H38" s="32" t="inlineStr">
        <is>
          <t>Raw Value (cross-ref)</t>
        </is>
      </c>
      <c r="I38" s="33" t="inlineStr">
        <is>
          <t>Raw measured volume sourced directly from AORA Mass Balance System</t>
        </is>
      </c>
    </row>
    <row r="39" ht="22" customHeight="1">
      <c r="A39" s="34" t="inlineStr"/>
      <c r="B39" s="34" t="inlineStr"/>
      <c r="C39" s="34" t="inlineStr"/>
      <c r="D39" s="29" t="inlineStr"/>
      <c r="E39" s="30" t="inlineStr">
        <is>
          <t>Opening % (share)</t>
        </is>
      </c>
      <c r="F39" s="28" t="inlineStr">
        <is>
          <t>F</t>
        </is>
      </c>
      <c r="G39" s="35">
        <f>IF(('Crude Inventory (Live Formulas)'!E16+E17+E18+E19)=0,0,'Crude Inventory (Live Formulas)'!E18/('Crude Inventory (Live Formulas)'!E16+E17+E18+E19))</f>
        <v/>
      </c>
      <c r="H39" s="36" t="inlineStr">
        <is>
          <t>IF / Division</t>
        </is>
      </c>
      <c r="I39" s="33" t="inlineStr">
        <is>
          <t>Crude's share of tank total opening vol. =0 if tank empty.</t>
        </is>
      </c>
    </row>
    <row r="40" ht="22" customHeight="1">
      <c r="A40" s="34" t="inlineStr"/>
      <c r="B40" s="34" t="inlineStr"/>
      <c r="C40" s="34" t="inlineStr"/>
      <c r="D40" s="29" t="inlineStr"/>
      <c r="E40" s="30" t="inlineStr">
        <is>
          <t>Closing Volume (MB)</t>
        </is>
      </c>
      <c r="F40" s="28" t="inlineStr">
        <is>
          <t>G</t>
        </is>
      </c>
      <c r="G40" s="31">
        <f>'Crude Inventory (Live Formulas)'!G18</f>
        <v/>
      </c>
      <c r="H40" s="32" t="inlineStr">
        <is>
          <t>Raw Value (cross-ref)</t>
        </is>
      </c>
      <c r="I40" s="33" t="inlineStr">
        <is>
          <t>Raw measured volume sourced directly from AORA Mass Balance System</t>
        </is>
      </c>
    </row>
    <row r="41" ht="22" customHeight="1">
      <c r="A41" s="34" t="inlineStr"/>
      <c r="B41" s="34" t="inlineStr"/>
      <c r="C41" s="34" t="inlineStr"/>
      <c r="D41" s="29" t="inlineStr"/>
      <c r="E41" s="30" t="inlineStr">
        <is>
          <t>Closing % (share)</t>
        </is>
      </c>
      <c r="F41" s="28" t="inlineStr">
        <is>
          <t>H</t>
        </is>
      </c>
      <c r="G41" s="35">
        <f>IF(('Crude Inventory (Live Formulas)'!G16+G17+G18+G19)=0,0,'Crude Inventory (Live Formulas)'!G18/('Crude Inventory (Live Formulas)'!G16+G17+G18+G19))</f>
        <v/>
      </c>
      <c r="H41" s="36" t="inlineStr">
        <is>
          <t>IF / Division</t>
        </is>
      </c>
      <c r="I41" s="33" t="inlineStr">
        <is>
          <t>Crude's share of tank total closing vol. =0 if tank empty.</t>
        </is>
      </c>
    </row>
    <row r="42" ht="22" customHeight="1">
      <c r="A42" s="28" t="n">
        <v>12</v>
      </c>
      <c r="B42" s="28" t="inlineStr">
        <is>
          <t>TK17</t>
        </is>
      </c>
      <c r="C42" s="28" t="inlineStr">
        <is>
          <t>MRO</t>
        </is>
      </c>
      <c r="D42" s="29" t="inlineStr">
        <is>
          <t>Mero</t>
        </is>
      </c>
      <c r="E42" s="30" t="inlineStr">
        <is>
          <t>Opening Volume (MB)</t>
        </is>
      </c>
      <c r="F42" s="28" t="inlineStr">
        <is>
          <t>E</t>
        </is>
      </c>
      <c r="G42" s="31">
        <f>'Crude Inventory (Live Formulas)'!E19</f>
        <v/>
      </c>
      <c r="H42" s="32" t="inlineStr">
        <is>
          <t>Raw Value (cross-ref)</t>
        </is>
      </c>
      <c r="I42" s="33" t="inlineStr">
        <is>
          <t>Raw measured volume sourced directly from AORA Mass Balance System</t>
        </is>
      </c>
    </row>
    <row r="43" ht="22" customHeight="1">
      <c r="A43" s="34" t="inlineStr"/>
      <c r="B43" s="34" t="inlineStr"/>
      <c r="C43" s="34" t="inlineStr"/>
      <c r="D43" s="29" t="inlineStr"/>
      <c r="E43" s="30" t="inlineStr">
        <is>
          <t>Opening % (share)</t>
        </is>
      </c>
      <c r="F43" s="28" t="inlineStr">
        <is>
          <t>F</t>
        </is>
      </c>
      <c r="G43" s="35">
        <f>IF(('Crude Inventory (Live Formulas)'!E16+E17+E18+E19)=0,0,'Crude Inventory (Live Formulas)'!E19/('Crude Inventory (Live Formulas)'!E16+E17+E18+E19))</f>
        <v/>
      </c>
      <c r="H43" s="36" t="inlineStr">
        <is>
          <t>IF / Division</t>
        </is>
      </c>
      <c r="I43" s="33" t="inlineStr">
        <is>
          <t>Crude's share of tank total opening vol. =0 if tank empty.</t>
        </is>
      </c>
    </row>
    <row r="44" ht="22" customHeight="1">
      <c r="A44" s="34" t="inlineStr"/>
      <c r="B44" s="34" t="inlineStr"/>
      <c r="C44" s="34" t="inlineStr"/>
      <c r="D44" s="29" t="inlineStr"/>
      <c r="E44" s="30" t="inlineStr">
        <is>
          <t>Closing Volume (MB)</t>
        </is>
      </c>
      <c r="F44" s="28" t="inlineStr">
        <is>
          <t>G</t>
        </is>
      </c>
      <c r="G44" s="31">
        <f>'Crude Inventory (Live Formulas)'!G19</f>
        <v/>
      </c>
      <c r="H44" s="32" t="inlineStr">
        <is>
          <t>Raw Value (cross-ref)</t>
        </is>
      </c>
      <c r="I44" s="33" t="inlineStr">
        <is>
          <t>Raw measured volume sourced directly from AORA Mass Balance System</t>
        </is>
      </c>
    </row>
    <row r="45" ht="22" customHeight="1">
      <c r="A45" s="34" t="inlineStr"/>
      <c r="B45" s="34" t="inlineStr"/>
      <c r="C45" s="34" t="inlineStr"/>
      <c r="D45" s="29" t="inlineStr"/>
      <c r="E45" s="30" t="inlineStr">
        <is>
          <t>Closing % (share)</t>
        </is>
      </c>
      <c r="F45" s="28" t="inlineStr">
        <is>
          <t>H</t>
        </is>
      </c>
      <c r="G45" s="35">
        <f>IF(('Crude Inventory (Live Formulas)'!G16+G17+G18+G19)=0,0,'Crude Inventory (Live Formulas)'!G19/('Crude Inventory (Live Formulas)'!G16+G17+G18+G19))</f>
        <v/>
      </c>
      <c r="H45" s="36" t="inlineStr">
        <is>
          <t>IF / Division</t>
        </is>
      </c>
      <c r="I45" s="33" t="inlineStr">
        <is>
          <t>Crude's share of tank total closing vol. =0 if tank empty.</t>
        </is>
      </c>
    </row>
    <row r="46" ht="22" customHeight="1">
      <c r="A46" s="37" t="n">
        <v>13</v>
      </c>
      <c r="B46" s="37" t="inlineStr">
        <is>
          <t>TK17</t>
        </is>
      </c>
      <c r="C46" s="37" t="inlineStr">
        <is>
          <t>TOTAL</t>
        </is>
      </c>
      <c r="D46" s="38" t="inlineStr">
        <is>
          <t>Total for TK17</t>
        </is>
      </c>
      <c r="E46" s="38" t="inlineStr">
        <is>
          <t>Opening Volume Total (MB)</t>
        </is>
      </c>
      <c r="F46" s="37" t="inlineStr">
        <is>
          <t>E</t>
        </is>
      </c>
      <c r="G46" s="39">
        <f>'Crude Inventory (Live Formulas)'!E16+E17+E18+E19</f>
        <v/>
      </c>
      <c r="H46" s="40" t="inlineStr">
        <is>
          <t>SUM</t>
        </is>
      </c>
      <c r="I46" s="41" t="inlineStr">
        <is>
          <t>Sum of all crude volumes in this tank group</t>
        </is>
      </c>
    </row>
    <row r="47" ht="22" customHeight="1">
      <c r="A47" s="7" t="n">
        <v>14</v>
      </c>
      <c r="B47" s="7" t="inlineStr">
        <is>
          <t>TK18</t>
        </is>
      </c>
      <c r="C47" s="7" t="inlineStr">
        <is>
          <t>IRA</t>
        </is>
      </c>
      <c r="D47" s="6" t="inlineStr">
        <is>
          <t>Iracema</t>
        </is>
      </c>
      <c r="E47" s="42" t="inlineStr">
        <is>
          <t>Opening Volume (MB)</t>
        </is>
      </c>
      <c r="F47" s="7" t="inlineStr">
        <is>
          <t>E</t>
        </is>
      </c>
      <c r="G47" s="31">
        <f>'Crude Inventory (Live Formulas)'!E22</f>
        <v/>
      </c>
      <c r="H47" s="32" t="inlineStr">
        <is>
          <t>Raw Value (cross-ref)</t>
        </is>
      </c>
      <c r="I47" s="43" t="inlineStr">
        <is>
          <t>Raw measured volume sourced directly from AORA Mass Balance System</t>
        </is>
      </c>
    </row>
    <row r="48" ht="22" customHeight="1">
      <c r="A48" s="19" t="inlineStr"/>
      <c r="B48" s="19" t="inlineStr"/>
      <c r="C48" s="19" t="inlineStr"/>
      <c r="D48" s="6" t="inlineStr"/>
      <c r="E48" s="42" t="inlineStr">
        <is>
          <t>Opening % (share)</t>
        </is>
      </c>
      <c r="F48" s="7" t="inlineStr">
        <is>
          <t>F</t>
        </is>
      </c>
      <c r="G48" s="35">
        <f>IF(('Crude Inventory (Live Formulas)'!E22+E23+E24)=0,0,'Crude Inventory (Live Formulas)'!E22/('Crude Inventory (Live Formulas)'!E22+E23+E24))</f>
        <v/>
      </c>
      <c r="H48" s="36" t="inlineStr">
        <is>
          <t>IF / Division</t>
        </is>
      </c>
      <c r="I48" s="43" t="inlineStr">
        <is>
          <t>Crude's share of tank total opening vol. =0 if tank empty.</t>
        </is>
      </c>
    </row>
    <row r="49" ht="22" customHeight="1">
      <c r="A49" s="19" t="inlineStr"/>
      <c r="B49" s="19" t="inlineStr"/>
      <c r="C49" s="19" t="inlineStr"/>
      <c r="D49" s="6" t="inlineStr"/>
      <c r="E49" s="42" t="inlineStr">
        <is>
          <t>Closing Volume (MB)</t>
        </is>
      </c>
      <c r="F49" s="7" t="inlineStr">
        <is>
          <t>G</t>
        </is>
      </c>
      <c r="G49" s="31">
        <f>'Crude Inventory (Live Formulas)'!G22</f>
        <v/>
      </c>
      <c r="H49" s="32" t="inlineStr">
        <is>
          <t>Raw Value (cross-ref)</t>
        </is>
      </c>
      <c r="I49" s="43" t="inlineStr">
        <is>
          <t>Raw measured volume sourced directly from AORA Mass Balance System</t>
        </is>
      </c>
    </row>
    <row r="50" ht="22" customHeight="1">
      <c r="A50" s="19" t="inlineStr"/>
      <c r="B50" s="19" t="inlineStr"/>
      <c r="C50" s="19" t="inlineStr"/>
      <c r="D50" s="6" t="inlineStr"/>
      <c r="E50" s="42" t="inlineStr">
        <is>
          <t>Closing % (share)</t>
        </is>
      </c>
      <c r="F50" s="7" t="inlineStr">
        <is>
          <t>H</t>
        </is>
      </c>
      <c r="G50" s="35">
        <f>IF(('Crude Inventory (Live Formulas)'!G22+G23+G24)=0,0,'Crude Inventory (Live Formulas)'!G22/('Crude Inventory (Live Formulas)'!G22+G23+G24))</f>
        <v/>
      </c>
      <c r="H50" s="36" t="inlineStr">
        <is>
          <t>IF / Division</t>
        </is>
      </c>
      <c r="I50" s="43" t="inlineStr">
        <is>
          <t>Crude's share of tank total closing vol. =0 if tank empty.</t>
        </is>
      </c>
    </row>
    <row r="51" ht="22" customHeight="1">
      <c r="A51" s="7" t="n">
        <v>15</v>
      </c>
      <c r="B51" s="7" t="inlineStr">
        <is>
          <t>TK18</t>
        </is>
      </c>
      <c r="C51" s="7" t="inlineStr">
        <is>
          <t>LUL</t>
        </is>
      </c>
      <c r="D51" s="6" t="inlineStr">
        <is>
          <t>Tupi (Lula)</t>
        </is>
      </c>
      <c r="E51" s="42" t="inlineStr">
        <is>
          <t>Opening Volume (MB)</t>
        </is>
      </c>
      <c r="F51" s="7" t="inlineStr">
        <is>
          <t>E</t>
        </is>
      </c>
      <c r="G51" s="31">
        <f>'Crude Inventory (Live Formulas)'!E23</f>
        <v/>
      </c>
      <c r="H51" s="32" t="inlineStr">
        <is>
          <t>Raw Value (cross-ref)</t>
        </is>
      </c>
      <c r="I51" s="43" t="inlineStr">
        <is>
          <t>Raw measured volume sourced directly from AORA Mass Balance System</t>
        </is>
      </c>
    </row>
    <row r="52" ht="22" customHeight="1">
      <c r="A52" s="19" t="inlineStr"/>
      <c r="B52" s="19" t="inlineStr"/>
      <c r="C52" s="19" t="inlineStr"/>
      <c r="D52" s="6" t="inlineStr"/>
      <c r="E52" s="42" t="inlineStr">
        <is>
          <t>Opening % (share)</t>
        </is>
      </c>
      <c r="F52" s="7" t="inlineStr">
        <is>
          <t>F</t>
        </is>
      </c>
      <c r="G52" s="35">
        <f>IF(('Crude Inventory (Live Formulas)'!E22+E23+E24)=0,0,'Crude Inventory (Live Formulas)'!E23/('Crude Inventory (Live Formulas)'!E22+E23+E24))</f>
        <v/>
      </c>
      <c r="H52" s="36" t="inlineStr">
        <is>
          <t>IF / Division</t>
        </is>
      </c>
      <c r="I52" s="43" t="inlineStr">
        <is>
          <t>Crude's share of tank total opening vol. =0 if tank empty.</t>
        </is>
      </c>
    </row>
    <row r="53" ht="22" customHeight="1">
      <c r="A53" s="19" t="inlineStr"/>
      <c r="B53" s="19" t="inlineStr"/>
      <c r="C53" s="19" t="inlineStr"/>
      <c r="D53" s="6" t="inlineStr"/>
      <c r="E53" s="42" t="inlineStr">
        <is>
          <t>Closing Volume (MB)</t>
        </is>
      </c>
      <c r="F53" s="7" t="inlineStr">
        <is>
          <t>G</t>
        </is>
      </c>
      <c r="G53" s="31">
        <f>'Crude Inventory (Live Formulas)'!G23</f>
        <v/>
      </c>
      <c r="H53" s="32" t="inlineStr">
        <is>
          <t>Raw Value (cross-ref)</t>
        </is>
      </c>
      <c r="I53" s="43" t="inlineStr">
        <is>
          <t>Raw measured volume sourced directly from AORA Mass Balance System</t>
        </is>
      </c>
    </row>
    <row r="54" ht="22" customHeight="1">
      <c r="A54" s="19" t="inlineStr"/>
      <c r="B54" s="19" t="inlineStr"/>
      <c r="C54" s="19" t="inlineStr"/>
      <c r="D54" s="6" t="inlineStr"/>
      <c r="E54" s="42" t="inlineStr">
        <is>
          <t>Closing % (share)</t>
        </is>
      </c>
      <c r="F54" s="7" t="inlineStr">
        <is>
          <t>H</t>
        </is>
      </c>
      <c r="G54" s="35">
        <f>IF(('Crude Inventory (Live Formulas)'!G22+G23+G24)=0,0,'Crude Inventory (Live Formulas)'!G23/('Crude Inventory (Live Formulas)'!G22+G23+G24))</f>
        <v/>
      </c>
      <c r="H54" s="36" t="inlineStr">
        <is>
          <t>IF / Division</t>
        </is>
      </c>
      <c r="I54" s="43" t="inlineStr">
        <is>
          <t>Crude's share of tank total closing vol. =0 if tank empty.</t>
        </is>
      </c>
    </row>
    <row r="55" ht="22" customHeight="1">
      <c r="A55" s="7" t="n">
        <v>16</v>
      </c>
      <c r="B55" s="7" t="inlineStr">
        <is>
          <t>TK18</t>
        </is>
      </c>
      <c r="C55" s="7" t="inlineStr">
        <is>
          <t>MRO</t>
        </is>
      </c>
      <c r="D55" s="6" t="inlineStr">
        <is>
          <t>Mero</t>
        </is>
      </c>
      <c r="E55" s="42" t="inlineStr">
        <is>
          <t>Opening Volume (MB)</t>
        </is>
      </c>
      <c r="F55" s="7" t="inlineStr">
        <is>
          <t>E</t>
        </is>
      </c>
      <c r="G55" s="31">
        <f>'Crude Inventory (Live Formulas)'!E24</f>
        <v/>
      </c>
      <c r="H55" s="32" t="inlineStr">
        <is>
          <t>Raw Value (cross-ref)</t>
        </is>
      </c>
      <c r="I55" s="43" t="inlineStr">
        <is>
          <t>Raw measured volume sourced directly from AORA Mass Balance System</t>
        </is>
      </c>
    </row>
    <row r="56" ht="22" customHeight="1">
      <c r="A56" s="19" t="inlineStr"/>
      <c r="B56" s="19" t="inlineStr"/>
      <c r="C56" s="19" t="inlineStr"/>
      <c r="D56" s="6" t="inlineStr"/>
      <c r="E56" s="42" t="inlineStr">
        <is>
          <t>Opening % (share)</t>
        </is>
      </c>
      <c r="F56" s="7" t="inlineStr">
        <is>
          <t>F</t>
        </is>
      </c>
      <c r="G56" s="35">
        <f>IF(('Crude Inventory (Live Formulas)'!E22+E23+E24)=0,0,'Crude Inventory (Live Formulas)'!E24/('Crude Inventory (Live Formulas)'!E22+E23+E24))</f>
        <v/>
      </c>
      <c r="H56" s="36" t="inlineStr">
        <is>
          <t>IF / Division</t>
        </is>
      </c>
      <c r="I56" s="43" t="inlineStr">
        <is>
          <t>Crude's share of tank total opening vol. =0 if tank empty.</t>
        </is>
      </c>
    </row>
    <row r="57" ht="22" customHeight="1">
      <c r="A57" s="19" t="inlineStr"/>
      <c r="B57" s="19" t="inlineStr"/>
      <c r="C57" s="19" t="inlineStr"/>
      <c r="D57" s="6" t="inlineStr"/>
      <c r="E57" s="42" t="inlineStr">
        <is>
          <t>Closing Volume (MB)</t>
        </is>
      </c>
      <c r="F57" s="7" t="inlineStr">
        <is>
          <t>G</t>
        </is>
      </c>
      <c r="G57" s="31">
        <f>'Crude Inventory (Live Formulas)'!G24</f>
        <v/>
      </c>
      <c r="H57" s="32" t="inlineStr">
        <is>
          <t>Raw Value (cross-ref)</t>
        </is>
      </c>
      <c r="I57" s="43" t="inlineStr">
        <is>
          <t>Raw measured volume sourced directly from AORA Mass Balance System</t>
        </is>
      </c>
    </row>
    <row r="58" ht="22" customHeight="1">
      <c r="A58" s="19" t="inlineStr"/>
      <c r="B58" s="19" t="inlineStr"/>
      <c r="C58" s="19" t="inlineStr"/>
      <c r="D58" s="6" t="inlineStr"/>
      <c r="E58" s="42" t="inlineStr">
        <is>
          <t>Closing % (share)</t>
        </is>
      </c>
      <c r="F58" s="7" t="inlineStr">
        <is>
          <t>H</t>
        </is>
      </c>
      <c r="G58" s="35">
        <f>IF(('Crude Inventory (Live Formulas)'!G22+G23+G24)=0,0,'Crude Inventory (Live Formulas)'!G24/('Crude Inventory (Live Formulas)'!G22+G23+G24))</f>
        <v/>
      </c>
      <c r="H58" s="36" t="inlineStr">
        <is>
          <t>IF / Division</t>
        </is>
      </c>
      <c r="I58" s="43" t="inlineStr">
        <is>
          <t>Crude's share of tank total closing vol. =0 if tank empty.</t>
        </is>
      </c>
    </row>
    <row r="59" ht="22" customHeight="1">
      <c r="A59" s="37" t="n">
        <v>17</v>
      </c>
      <c r="B59" s="37" t="inlineStr">
        <is>
          <t>TK18</t>
        </is>
      </c>
      <c r="C59" s="37" t="inlineStr">
        <is>
          <t>TOTAL</t>
        </is>
      </c>
      <c r="D59" s="38" t="inlineStr">
        <is>
          <t>Total for TK18</t>
        </is>
      </c>
      <c r="E59" s="38" t="inlineStr">
        <is>
          <t>Opening Volume Total (MB)</t>
        </is>
      </c>
      <c r="F59" s="37" t="inlineStr">
        <is>
          <t>E</t>
        </is>
      </c>
      <c r="G59" s="39">
        <f>'Crude Inventory (Live Formulas)'!E22+E23+E24</f>
        <v/>
      </c>
      <c r="H59" s="40" t="inlineStr">
        <is>
          <t>SUM</t>
        </is>
      </c>
      <c r="I59" s="41" t="inlineStr">
        <is>
          <t>Sum of all crude volumes in this tank group</t>
        </is>
      </c>
    </row>
    <row r="60" ht="22" customHeight="1">
      <c r="A60" s="28" t="n">
        <v>18</v>
      </c>
      <c r="B60" s="28" t="inlineStr">
        <is>
          <t>TK2</t>
        </is>
      </c>
      <c r="C60" s="28" t="inlineStr">
        <is>
          <t>Acc_DomesticCrude</t>
        </is>
      </c>
      <c r="D60" s="29" t="inlineStr">
        <is>
          <t>Domestic Crude</t>
        </is>
      </c>
      <c r="E60" s="30" t="inlineStr">
        <is>
          <t>Opening Volume (MB)</t>
        </is>
      </c>
      <c r="F60" s="28" t="inlineStr">
        <is>
          <t>E</t>
        </is>
      </c>
      <c r="G60" s="31">
        <f>'Crude Inventory (Live Formulas)'!E27</f>
        <v/>
      </c>
      <c r="H60" s="32" t="inlineStr">
        <is>
          <t>Raw Value (cross-ref)</t>
        </is>
      </c>
      <c r="I60" s="33" t="inlineStr">
        <is>
          <t>Raw measured volume sourced directly from AORA Mass Balance System</t>
        </is>
      </c>
    </row>
    <row r="61" ht="22" customHeight="1">
      <c r="A61" s="34" t="inlineStr"/>
      <c r="B61" s="34" t="inlineStr"/>
      <c r="C61" s="34" t="inlineStr"/>
      <c r="D61" s="29" t="inlineStr"/>
      <c r="E61" s="30" t="inlineStr">
        <is>
          <t>Opening % (share)</t>
        </is>
      </c>
      <c r="F61" s="28" t="inlineStr">
        <is>
          <t>F</t>
        </is>
      </c>
      <c r="G61" s="35">
        <f>IF(('Crude Inventory (Live Formulas)'!E27)=0,0,'Crude Inventory (Live Formulas)'!E27/('Crude Inventory (Live Formulas)'!E27))</f>
        <v/>
      </c>
      <c r="H61" s="36" t="inlineStr">
        <is>
          <t>IF / Division</t>
        </is>
      </c>
      <c r="I61" s="33" t="inlineStr">
        <is>
          <t>Crude's share of tank total opening vol. =0 if tank empty.</t>
        </is>
      </c>
    </row>
    <row r="62" ht="22" customHeight="1">
      <c r="A62" s="34" t="inlineStr"/>
      <c r="B62" s="34" t="inlineStr"/>
      <c r="C62" s="34" t="inlineStr"/>
      <c r="D62" s="29" t="inlineStr"/>
      <c r="E62" s="30" t="inlineStr">
        <is>
          <t>Closing Volume (MB)</t>
        </is>
      </c>
      <c r="F62" s="28" t="inlineStr">
        <is>
          <t>G</t>
        </is>
      </c>
      <c r="G62" s="31">
        <f>'Crude Inventory (Live Formulas)'!G27</f>
        <v/>
      </c>
      <c r="H62" s="32" t="inlineStr">
        <is>
          <t>Raw Value (cross-ref)</t>
        </is>
      </c>
      <c r="I62" s="33" t="inlineStr">
        <is>
          <t>Raw measured volume sourced directly from AORA Mass Balance System</t>
        </is>
      </c>
    </row>
    <row r="63" ht="22" customHeight="1">
      <c r="A63" s="34" t="inlineStr"/>
      <c r="B63" s="34" t="inlineStr"/>
      <c r="C63" s="34" t="inlineStr"/>
      <c r="D63" s="29" t="inlineStr"/>
      <c r="E63" s="30" t="inlineStr">
        <is>
          <t>Closing % (share)</t>
        </is>
      </c>
      <c r="F63" s="28" t="inlineStr">
        <is>
          <t>H</t>
        </is>
      </c>
      <c r="G63" s="35">
        <f>IF(('Crude Inventory (Live Formulas)'!G27)=0,0,'Crude Inventory (Live Formulas)'!G27/('Crude Inventory (Live Formulas)'!G27))</f>
        <v/>
      </c>
      <c r="H63" s="36" t="inlineStr">
        <is>
          <t>IF / Division</t>
        </is>
      </c>
      <c r="I63" s="33" t="inlineStr">
        <is>
          <t>Crude's share of tank total closing vol. =0 if tank empty.</t>
        </is>
      </c>
    </row>
    <row r="64" ht="22" customHeight="1">
      <c r="A64" s="37" t="n">
        <v>19</v>
      </c>
      <c r="B64" s="37" t="inlineStr">
        <is>
          <t>TK2</t>
        </is>
      </c>
      <c r="C64" s="37" t="inlineStr">
        <is>
          <t>TOTAL</t>
        </is>
      </c>
      <c r="D64" s="38" t="inlineStr">
        <is>
          <t>Total for TK2</t>
        </is>
      </c>
      <c r="E64" s="38" t="inlineStr">
        <is>
          <t>Opening Volume Total (MB)</t>
        </is>
      </c>
      <c r="F64" s="37" t="inlineStr">
        <is>
          <t>E</t>
        </is>
      </c>
      <c r="G64" s="39">
        <f>'Crude Inventory (Live Formulas)'!E27</f>
        <v/>
      </c>
      <c r="H64" s="40" t="inlineStr">
        <is>
          <t>SUM</t>
        </is>
      </c>
      <c r="I64" s="41" t="inlineStr">
        <is>
          <t>Sum of all crude volumes in this tank group</t>
        </is>
      </c>
    </row>
    <row r="65" ht="22" customHeight="1">
      <c r="A65" s="7" t="n">
        <v>20</v>
      </c>
      <c r="B65" s="7" t="inlineStr">
        <is>
          <t>TK27</t>
        </is>
      </c>
      <c r="C65" s="7" t="inlineStr">
        <is>
          <t>166</t>
        </is>
      </c>
      <c r="D65" s="6" t="inlineStr">
        <is>
          <t>Alkylate</t>
        </is>
      </c>
      <c r="E65" s="42" t="inlineStr">
        <is>
          <t>Opening Volume (MB)</t>
        </is>
      </c>
      <c r="F65" s="7" t="inlineStr">
        <is>
          <t>E</t>
        </is>
      </c>
      <c r="G65" s="31">
        <f>'Crude Inventory (Live Formulas)'!E30</f>
        <v/>
      </c>
      <c r="H65" s="32" t="inlineStr">
        <is>
          <t>Raw Value (cross-ref)</t>
        </is>
      </c>
      <c r="I65" s="43" t="inlineStr">
        <is>
          <t>Raw measured volume sourced directly from AORA Mass Balance System</t>
        </is>
      </c>
    </row>
    <row r="66" ht="22" customHeight="1">
      <c r="A66" s="19" t="inlineStr"/>
      <c r="B66" s="19" t="inlineStr"/>
      <c r="C66" s="19" t="inlineStr"/>
      <c r="D66" s="6" t="inlineStr"/>
      <c r="E66" s="42" t="inlineStr">
        <is>
          <t>Opening % (share)</t>
        </is>
      </c>
      <c r="F66" s="7" t="inlineStr">
        <is>
          <t>F</t>
        </is>
      </c>
      <c r="G66" s="35">
        <f>IF(('Crude Inventory (Live Formulas)'!E30+E31+E32+E33)=0,0,'Crude Inventory (Live Formulas)'!E30/('Crude Inventory (Live Formulas)'!E30+E31+E32+E33))</f>
        <v/>
      </c>
      <c r="H66" s="36" t="inlineStr">
        <is>
          <t>IF / Division</t>
        </is>
      </c>
      <c r="I66" s="43" t="inlineStr">
        <is>
          <t>Crude's share of tank total opening vol. =0 if tank empty.</t>
        </is>
      </c>
    </row>
    <row r="67" ht="22" customHeight="1">
      <c r="A67" s="19" t="inlineStr"/>
      <c r="B67" s="19" t="inlineStr"/>
      <c r="C67" s="19" t="inlineStr"/>
      <c r="D67" s="6" t="inlineStr"/>
      <c r="E67" s="42" t="inlineStr">
        <is>
          <t>Closing Volume (MB)</t>
        </is>
      </c>
      <c r="F67" s="7" t="inlineStr">
        <is>
          <t>G</t>
        </is>
      </c>
      <c r="G67" s="31">
        <f>'Crude Inventory (Live Formulas)'!G30</f>
        <v/>
      </c>
      <c r="H67" s="32" t="inlineStr">
        <is>
          <t>Raw Value (cross-ref)</t>
        </is>
      </c>
      <c r="I67" s="43" t="inlineStr">
        <is>
          <t>Raw measured volume sourced directly from AORA Mass Balance System</t>
        </is>
      </c>
    </row>
    <row r="68" ht="22" customHeight="1">
      <c r="A68" s="19" t="inlineStr"/>
      <c r="B68" s="19" t="inlineStr"/>
      <c r="C68" s="19" t="inlineStr"/>
      <c r="D68" s="6" t="inlineStr"/>
      <c r="E68" s="42" t="inlineStr">
        <is>
          <t>Closing % (share)</t>
        </is>
      </c>
      <c r="F68" s="7" t="inlineStr">
        <is>
          <t>H</t>
        </is>
      </c>
      <c r="G68" s="35">
        <f>IF(('Crude Inventory (Live Formulas)'!G30+G31+G32+G33)=0,0,'Crude Inventory (Live Formulas)'!G30/('Crude Inventory (Live Formulas)'!G30+G31+G32+G33))</f>
        <v/>
      </c>
      <c r="H68" s="36" t="inlineStr">
        <is>
          <t>IF / Division</t>
        </is>
      </c>
      <c r="I68" s="43" t="inlineStr">
        <is>
          <t>Crude's share of tank total closing vol. =0 if tank empty.</t>
        </is>
      </c>
    </row>
    <row r="69" ht="22" customHeight="1">
      <c r="A69" s="7" t="n">
        <v>21</v>
      </c>
      <c r="B69" s="7" t="inlineStr">
        <is>
          <t>TK27</t>
        </is>
      </c>
      <c r="C69" s="7" t="inlineStr">
        <is>
          <t>544</t>
        </is>
      </c>
      <c r="D69" s="6" t="inlineStr">
        <is>
          <t>Alkylate - Purchased</t>
        </is>
      </c>
      <c r="E69" s="42" t="inlineStr">
        <is>
          <t>Opening Volume (MB)</t>
        </is>
      </c>
      <c r="F69" s="7" t="inlineStr">
        <is>
          <t>E</t>
        </is>
      </c>
      <c r="G69" s="31">
        <f>'Crude Inventory (Live Formulas)'!E31</f>
        <v/>
      </c>
      <c r="H69" s="32" t="inlineStr">
        <is>
          <t>Raw Value (cross-ref)</t>
        </is>
      </c>
      <c r="I69" s="43" t="inlineStr">
        <is>
          <t>Raw measured volume sourced directly from AORA Mass Balance System</t>
        </is>
      </c>
    </row>
    <row r="70" ht="22" customHeight="1">
      <c r="A70" s="19" t="inlineStr"/>
      <c r="B70" s="19" t="inlineStr"/>
      <c r="C70" s="19" t="inlineStr"/>
      <c r="D70" s="6" t="inlineStr"/>
      <c r="E70" s="42" t="inlineStr">
        <is>
          <t>Opening % (share)</t>
        </is>
      </c>
      <c r="F70" s="7" t="inlineStr">
        <is>
          <t>F</t>
        </is>
      </c>
      <c r="G70" s="35">
        <f>IF(('Crude Inventory (Live Formulas)'!E30+E31+E32+E33)=0,0,'Crude Inventory (Live Formulas)'!E31/('Crude Inventory (Live Formulas)'!E30+E31+E32+E33))</f>
        <v/>
      </c>
      <c r="H70" s="36" t="inlineStr">
        <is>
          <t>IF / Division</t>
        </is>
      </c>
      <c r="I70" s="43" t="inlineStr">
        <is>
          <t>Crude's share of tank total opening vol. =0 if tank empty.</t>
        </is>
      </c>
    </row>
    <row r="71" ht="22" customHeight="1">
      <c r="A71" s="19" t="inlineStr"/>
      <c r="B71" s="19" t="inlineStr"/>
      <c r="C71" s="19" t="inlineStr"/>
      <c r="D71" s="6" t="inlineStr"/>
      <c r="E71" s="42" t="inlineStr">
        <is>
          <t>Closing Volume (MB)</t>
        </is>
      </c>
      <c r="F71" s="7" t="inlineStr">
        <is>
          <t>G</t>
        </is>
      </c>
      <c r="G71" s="31">
        <f>'Crude Inventory (Live Formulas)'!G31</f>
        <v/>
      </c>
      <c r="H71" s="32" t="inlineStr">
        <is>
          <t>Raw Value (cross-ref)</t>
        </is>
      </c>
      <c r="I71" s="43" t="inlineStr">
        <is>
          <t>Raw measured volume sourced directly from AORA Mass Balance System</t>
        </is>
      </c>
    </row>
    <row r="72" ht="22" customHeight="1">
      <c r="A72" s="19" t="inlineStr"/>
      <c r="B72" s="19" t="inlineStr"/>
      <c r="C72" s="19" t="inlineStr"/>
      <c r="D72" s="6" t="inlineStr"/>
      <c r="E72" s="42" t="inlineStr">
        <is>
          <t>Closing % (share)</t>
        </is>
      </c>
      <c r="F72" s="7" t="inlineStr">
        <is>
          <t>H</t>
        </is>
      </c>
      <c r="G72" s="35">
        <f>IF(('Crude Inventory (Live Formulas)'!G30+G31+G32+G33)=0,0,'Crude Inventory (Live Formulas)'!G31/('Crude Inventory (Live Formulas)'!G30+G31+G32+G33))</f>
        <v/>
      </c>
      <c r="H72" s="36" t="inlineStr">
        <is>
          <t>IF / Division</t>
        </is>
      </c>
      <c r="I72" s="43" t="inlineStr">
        <is>
          <t>Crude's share of tank total closing vol. =0 if tank empty.</t>
        </is>
      </c>
    </row>
    <row r="73" ht="22" customHeight="1">
      <c r="A73" s="7" t="n">
        <v>22</v>
      </c>
      <c r="B73" s="7" t="inlineStr">
        <is>
          <t>TK27</t>
        </is>
      </c>
      <c r="C73" s="7" t="inlineStr">
        <is>
          <t>59B</t>
        </is>
      </c>
      <c r="D73" s="6" t="inlineStr">
        <is>
          <t>Alkylate - Transferred</t>
        </is>
      </c>
      <c r="E73" s="42" t="inlineStr">
        <is>
          <t>Opening Volume (MB)</t>
        </is>
      </c>
      <c r="F73" s="7" t="inlineStr">
        <is>
          <t>E</t>
        </is>
      </c>
      <c r="G73" s="31">
        <f>'Crude Inventory (Live Formulas)'!E32</f>
        <v/>
      </c>
      <c r="H73" s="32" t="inlineStr">
        <is>
          <t>Raw Value (cross-ref)</t>
        </is>
      </c>
      <c r="I73" s="43" t="inlineStr">
        <is>
          <t>Raw measured volume sourced directly from AORA Mass Balance System</t>
        </is>
      </c>
    </row>
    <row r="74" ht="22" customHeight="1">
      <c r="A74" s="19" t="inlineStr"/>
      <c r="B74" s="19" t="inlineStr"/>
      <c r="C74" s="19" t="inlineStr"/>
      <c r="D74" s="6" t="inlineStr"/>
      <c r="E74" s="42" t="inlineStr">
        <is>
          <t>Opening % (share)</t>
        </is>
      </c>
      <c r="F74" s="7" t="inlineStr">
        <is>
          <t>F</t>
        </is>
      </c>
      <c r="G74" s="35">
        <f>IF(('Crude Inventory (Live Formulas)'!E30+E31+E32+E33)=0,0,'Crude Inventory (Live Formulas)'!E32/('Crude Inventory (Live Formulas)'!E30+E31+E32+E33))</f>
        <v/>
      </c>
      <c r="H74" s="36" t="inlineStr">
        <is>
          <t>IF / Division</t>
        </is>
      </c>
      <c r="I74" s="43" t="inlineStr">
        <is>
          <t>Crude's share of tank total opening vol. =0 if tank empty.</t>
        </is>
      </c>
    </row>
    <row r="75" ht="22" customHeight="1">
      <c r="A75" s="19" t="inlineStr"/>
      <c r="B75" s="19" t="inlineStr"/>
      <c r="C75" s="19" t="inlineStr"/>
      <c r="D75" s="6" t="inlineStr"/>
      <c r="E75" s="42" t="inlineStr">
        <is>
          <t>Closing Volume (MB)</t>
        </is>
      </c>
      <c r="F75" s="7" t="inlineStr">
        <is>
          <t>G</t>
        </is>
      </c>
      <c r="G75" s="31">
        <f>'Crude Inventory (Live Formulas)'!G32</f>
        <v/>
      </c>
      <c r="H75" s="32" t="inlineStr">
        <is>
          <t>Raw Value (cross-ref)</t>
        </is>
      </c>
      <c r="I75" s="43" t="inlineStr">
        <is>
          <t>Raw measured volume sourced directly from AORA Mass Balance System</t>
        </is>
      </c>
    </row>
    <row r="76" ht="22" customHeight="1">
      <c r="A76" s="19" t="inlineStr"/>
      <c r="B76" s="19" t="inlineStr"/>
      <c r="C76" s="19" t="inlineStr"/>
      <c r="D76" s="6" t="inlineStr"/>
      <c r="E76" s="42" t="inlineStr">
        <is>
          <t>Closing % (share)</t>
        </is>
      </c>
      <c r="F76" s="7" t="inlineStr">
        <is>
          <t>H</t>
        </is>
      </c>
      <c r="G76" s="35">
        <f>IF(('Crude Inventory (Live Formulas)'!G30+G31+G32+G33)=0,0,'Crude Inventory (Live Formulas)'!G32/('Crude Inventory (Live Formulas)'!G30+G31+G32+G33))</f>
        <v/>
      </c>
      <c r="H76" s="36" t="inlineStr">
        <is>
          <t>IF / Division</t>
        </is>
      </c>
      <c r="I76" s="43" t="inlineStr">
        <is>
          <t>Crude's share of tank total closing vol. =0 if tank empty.</t>
        </is>
      </c>
    </row>
    <row r="77" ht="22" customHeight="1">
      <c r="A77" s="7" t="n">
        <v>23</v>
      </c>
      <c r="B77" s="7" t="inlineStr">
        <is>
          <t>TK27</t>
        </is>
      </c>
      <c r="C77" s="7" t="inlineStr">
        <is>
          <t>RNC</t>
        </is>
      </c>
      <c r="D77" s="6" t="inlineStr">
        <is>
          <t>Renewable Naphtha Consumption</t>
        </is>
      </c>
      <c r="E77" s="42" t="inlineStr">
        <is>
          <t>Opening Volume (MB)</t>
        </is>
      </c>
      <c r="F77" s="7" t="inlineStr">
        <is>
          <t>E</t>
        </is>
      </c>
      <c r="G77" s="31">
        <f>'Crude Inventory (Live Formulas)'!E33</f>
        <v/>
      </c>
      <c r="H77" s="32" t="inlineStr">
        <is>
          <t>Raw Value (cross-ref)</t>
        </is>
      </c>
      <c r="I77" s="43" t="inlineStr">
        <is>
          <t>Raw measured volume sourced directly from AORA Mass Balance System</t>
        </is>
      </c>
    </row>
    <row r="78" ht="22" customHeight="1">
      <c r="A78" s="19" t="inlineStr"/>
      <c r="B78" s="19" t="inlineStr"/>
      <c r="C78" s="19" t="inlineStr"/>
      <c r="D78" s="6" t="inlineStr"/>
      <c r="E78" s="42" t="inlineStr">
        <is>
          <t>Opening % (share)</t>
        </is>
      </c>
      <c r="F78" s="7" t="inlineStr">
        <is>
          <t>F</t>
        </is>
      </c>
      <c r="G78" s="35">
        <f>IF(('Crude Inventory (Live Formulas)'!E30+E31+E32+E33)=0,0,'Crude Inventory (Live Formulas)'!E33/('Crude Inventory (Live Formulas)'!E30+E31+E32+E33))</f>
        <v/>
      </c>
      <c r="H78" s="36" t="inlineStr">
        <is>
          <t>IF / Division</t>
        </is>
      </c>
      <c r="I78" s="43" t="inlineStr">
        <is>
          <t>Crude's share of tank total opening vol. =0 if tank empty.</t>
        </is>
      </c>
    </row>
    <row r="79" ht="22" customHeight="1">
      <c r="A79" s="19" t="inlineStr"/>
      <c r="B79" s="19" t="inlineStr"/>
      <c r="C79" s="19" t="inlineStr"/>
      <c r="D79" s="6" t="inlineStr"/>
      <c r="E79" s="42" t="inlineStr">
        <is>
          <t>Closing Volume (MB)</t>
        </is>
      </c>
      <c r="F79" s="7" t="inlineStr">
        <is>
          <t>G</t>
        </is>
      </c>
      <c r="G79" s="31">
        <f>'Crude Inventory (Live Formulas)'!G33</f>
        <v/>
      </c>
      <c r="H79" s="32" t="inlineStr">
        <is>
          <t>Raw Value (cross-ref)</t>
        </is>
      </c>
      <c r="I79" s="43" t="inlineStr">
        <is>
          <t>Raw measured volume sourced directly from AORA Mass Balance System</t>
        </is>
      </c>
    </row>
    <row r="80" ht="22" customHeight="1">
      <c r="A80" s="19" t="inlineStr"/>
      <c r="B80" s="19" t="inlineStr"/>
      <c r="C80" s="19" t="inlineStr"/>
      <c r="D80" s="6" t="inlineStr"/>
      <c r="E80" s="42" t="inlineStr">
        <is>
          <t>Closing % (share)</t>
        </is>
      </c>
      <c r="F80" s="7" t="inlineStr">
        <is>
          <t>H</t>
        </is>
      </c>
      <c r="G80" s="35">
        <f>IF(('Crude Inventory (Live Formulas)'!G30+G31+G32+G33)=0,0,'Crude Inventory (Live Formulas)'!G33/('Crude Inventory (Live Formulas)'!G30+G31+G32+G33))</f>
        <v/>
      </c>
      <c r="H80" s="36" t="inlineStr">
        <is>
          <t>IF / Division</t>
        </is>
      </c>
      <c r="I80" s="43" t="inlineStr">
        <is>
          <t>Crude's share of tank total closing vol. =0 if tank empty.</t>
        </is>
      </c>
    </row>
    <row r="81" ht="22" customHeight="1">
      <c r="A81" s="37" t="n">
        <v>24</v>
      </c>
      <c r="B81" s="37" t="inlineStr">
        <is>
          <t>TK27</t>
        </is>
      </c>
      <c r="C81" s="37" t="inlineStr">
        <is>
          <t>TOTAL</t>
        </is>
      </c>
      <c r="D81" s="38" t="inlineStr">
        <is>
          <t>Total for TK27</t>
        </is>
      </c>
      <c r="E81" s="38" t="inlineStr">
        <is>
          <t>Opening Volume Total (MB)</t>
        </is>
      </c>
      <c r="F81" s="37" t="inlineStr">
        <is>
          <t>E</t>
        </is>
      </c>
      <c r="G81" s="39">
        <f>'Crude Inventory (Live Formulas)'!E30+E31+E32+E33</f>
        <v/>
      </c>
      <c r="H81" s="40" t="inlineStr">
        <is>
          <t>SUM</t>
        </is>
      </c>
      <c r="I81" s="41" t="inlineStr">
        <is>
          <t>Sum of all crude volumes in this tank group</t>
        </is>
      </c>
    </row>
    <row r="82" ht="22" customHeight="1">
      <c r="A82" s="28" t="n">
        <v>25</v>
      </c>
      <c r="B82" s="28" t="inlineStr">
        <is>
          <t>TK28</t>
        </is>
      </c>
      <c r="C82" s="28" t="inlineStr">
        <is>
          <t>166</t>
        </is>
      </c>
      <c r="D82" s="29" t="inlineStr">
        <is>
          <t>Alkylate</t>
        </is>
      </c>
      <c r="E82" s="30" t="inlineStr">
        <is>
          <t>Opening Volume (MB)</t>
        </is>
      </c>
      <c r="F82" s="28" t="inlineStr">
        <is>
          <t>E</t>
        </is>
      </c>
      <c r="G82" s="31">
        <f>'Crude Inventory (Live Formulas)'!E36</f>
        <v/>
      </c>
      <c r="H82" s="32" t="inlineStr">
        <is>
          <t>Raw Value (cross-ref)</t>
        </is>
      </c>
      <c r="I82" s="33" t="inlineStr">
        <is>
          <t>Raw measured volume sourced directly from AORA Mass Balance System</t>
        </is>
      </c>
    </row>
    <row r="83" ht="22" customHeight="1">
      <c r="A83" s="34" t="inlineStr"/>
      <c r="B83" s="34" t="inlineStr"/>
      <c r="C83" s="34" t="inlineStr"/>
      <c r="D83" s="29" t="inlineStr"/>
      <c r="E83" s="30" t="inlineStr">
        <is>
          <t>Opening % (share)</t>
        </is>
      </c>
      <c r="F83" s="28" t="inlineStr">
        <is>
          <t>F</t>
        </is>
      </c>
      <c r="G83" s="35">
        <f>IF(('Crude Inventory (Live Formulas)'!E36+E37+E38+E39)=0,0,'Crude Inventory (Live Formulas)'!E36/('Crude Inventory (Live Formulas)'!E36+E37+E38+E39))</f>
        <v/>
      </c>
      <c r="H83" s="36" t="inlineStr">
        <is>
          <t>IF / Division</t>
        </is>
      </c>
      <c r="I83" s="33" t="inlineStr">
        <is>
          <t>Crude's share of tank total opening vol. =0 if tank empty.</t>
        </is>
      </c>
    </row>
    <row r="84" ht="22" customHeight="1">
      <c r="A84" s="34" t="inlineStr"/>
      <c r="B84" s="34" t="inlineStr"/>
      <c r="C84" s="34" t="inlineStr"/>
      <c r="D84" s="29" t="inlineStr"/>
      <c r="E84" s="30" t="inlineStr">
        <is>
          <t>Closing Volume (MB)</t>
        </is>
      </c>
      <c r="F84" s="28" t="inlineStr">
        <is>
          <t>G</t>
        </is>
      </c>
      <c r="G84" s="31">
        <f>'Crude Inventory (Live Formulas)'!G36</f>
        <v/>
      </c>
      <c r="H84" s="32" t="inlineStr">
        <is>
          <t>Raw Value (cross-ref)</t>
        </is>
      </c>
      <c r="I84" s="33" t="inlineStr">
        <is>
          <t>Raw measured volume sourced directly from AORA Mass Balance System</t>
        </is>
      </c>
    </row>
    <row r="85" ht="22" customHeight="1">
      <c r="A85" s="34" t="inlineStr"/>
      <c r="B85" s="34" t="inlineStr"/>
      <c r="C85" s="34" t="inlineStr"/>
      <c r="D85" s="29" t="inlineStr"/>
      <c r="E85" s="30" t="inlineStr">
        <is>
          <t>Closing % (share)</t>
        </is>
      </c>
      <c r="F85" s="28" t="inlineStr">
        <is>
          <t>H</t>
        </is>
      </c>
      <c r="G85" s="35">
        <f>IF(('Crude Inventory (Live Formulas)'!G36+G37+G38+G39)=0,0,'Crude Inventory (Live Formulas)'!G36/('Crude Inventory (Live Formulas)'!G36+G37+G38+G39))</f>
        <v/>
      </c>
      <c r="H85" s="36" t="inlineStr">
        <is>
          <t>IF / Division</t>
        </is>
      </c>
      <c r="I85" s="33" t="inlineStr">
        <is>
          <t>Crude's share of tank total closing vol. =0 if tank empty.</t>
        </is>
      </c>
    </row>
    <row r="86" ht="22" customHeight="1">
      <c r="A86" s="28" t="n">
        <v>26</v>
      </c>
      <c r="B86" s="28" t="inlineStr">
        <is>
          <t>TK28</t>
        </is>
      </c>
      <c r="C86" s="28" t="inlineStr">
        <is>
          <t>544</t>
        </is>
      </c>
      <c r="D86" s="29" t="inlineStr">
        <is>
          <t>Alkylate - Purchased</t>
        </is>
      </c>
      <c r="E86" s="30" t="inlineStr">
        <is>
          <t>Opening Volume (MB)</t>
        </is>
      </c>
      <c r="F86" s="28" t="inlineStr">
        <is>
          <t>E</t>
        </is>
      </c>
      <c r="G86" s="31">
        <f>'Crude Inventory (Live Formulas)'!E37</f>
        <v/>
      </c>
      <c r="H86" s="32" t="inlineStr">
        <is>
          <t>Raw Value (cross-ref)</t>
        </is>
      </c>
      <c r="I86" s="33" t="inlineStr">
        <is>
          <t>Raw measured volume sourced directly from AORA Mass Balance System</t>
        </is>
      </c>
    </row>
    <row r="87" ht="22" customHeight="1">
      <c r="A87" s="34" t="inlineStr"/>
      <c r="B87" s="34" t="inlineStr"/>
      <c r="C87" s="34" t="inlineStr"/>
      <c r="D87" s="29" t="inlineStr"/>
      <c r="E87" s="30" t="inlineStr">
        <is>
          <t>Opening % (share)</t>
        </is>
      </c>
      <c r="F87" s="28" t="inlineStr">
        <is>
          <t>F</t>
        </is>
      </c>
      <c r="G87" s="35">
        <f>IF(('Crude Inventory (Live Formulas)'!E36+E37+E38+E39)=0,0,'Crude Inventory (Live Formulas)'!E37/('Crude Inventory (Live Formulas)'!E36+E37+E38+E39))</f>
        <v/>
      </c>
      <c r="H87" s="36" t="inlineStr">
        <is>
          <t>IF / Division</t>
        </is>
      </c>
      <c r="I87" s="33" t="inlineStr">
        <is>
          <t>Crude's share of tank total opening vol. =0 if tank empty.</t>
        </is>
      </c>
    </row>
    <row r="88" ht="22" customHeight="1">
      <c r="A88" s="34" t="inlineStr"/>
      <c r="B88" s="34" t="inlineStr"/>
      <c r="C88" s="34" t="inlineStr"/>
      <c r="D88" s="29" t="inlineStr"/>
      <c r="E88" s="30" t="inlineStr">
        <is>
          <t>Closing Volume (MB)</t>
        </is>
      </c>
      <c r="F88" s="28" t="inlineStr">
        <is>
          <t>G</t>
        </is>
      </c>
      <c r="G88" s="31">
        <f>'Crude Inventory (Live Formulas)'!G37</f>
        <v/>
      </c>
      <c r="H88" s="32" t="inlineStr">
        <is>
          <t>Raw Value (cross-ref)</t>
        </is>
      </c>
      <c r="I88" s="33" t="inlineStr">
        <is>
          <t>Raw measured volume sourced directly from AORA Mass Balance System</t>
        </is>
      </c>
    </row>
    <row r="89" ht="22" customHeight="1">
      <c r="A89" s="34" t="inlineStr"/>
      <c r="B89" s="34" t="inlineStr"/>
      <c r="C89" s="34" t="inlineStr"/>
      <c r="D89" s="29" t="inlineStr"/>
      <c r="E89" s="30" t="inlineStr">
        <is>
          <t>Closing % (share)</t>
        </is>
      </c>
      <c r="F89" s="28" t="inlineStr">
        <is>
          <t>H</t>
        </is>
      </c>
      <c r="G89" s="35">
        <f>IF(('Crude Inventory (Live Formulas)'!G36+G37+G38+G39)=0,0,'Crude Inventory (Live Formulas)'!G37/('Crude Inventory (Live Formulas)'!G36+G37+G38+G39))</f>
        <v/>
      </c>
      <c r="H89" s="36" t="inlineStr">
        <is>
          <t>IF / Division</t>
        </is>
      </c>
      <c r="I89" s="33" t="inlineStr">
        <is>
          <t>Crude's share of tank total closing vol. =0 if tank empty.</t>
        </is>
      </c>
    </row>
    <row r="90" ht="22" customHeight="1">
      <c r="A90" s="28" t="n">
        <v>27</v>
      </c>
      <c r="B90" s="28" t="inlineStr">
        <is>
          <t>TK28</t>
        </is>
      </c>
      <c r="C90" s="28" t="inlineStr">
        <is>
          <t>59B</t>
        </is>
      </c>
      <c r="D90" s="29" t="inlineStr">
        <is>
          <t>Alkylate - Transferred</t>
        </is>
      </c>
      <c r="E90" s="30" t="inlineStr">
        <is>
          <t>Opening Volume (MB)</t>
        </is>
      </c>
      <c r="F90" s="28" t="inlineStr">
        <is>
          <t>E</t>
        </is>
      </c>
      <c r="G90" s="31">
        <f>'Crude Inventory (Live Formulas)'!E38</f>
        <v/>
      </c>
      <c r="H90" s="32" t="inlineStr">
        <is>
          <t>Raw Value (cross-ref)</t>
        </is>
      </c>
      <c r="I90" s="33" t="inlineStr">
        <is>
          <t>Raw measured volume sourced directly from AORA Mass Balance System</t>
        </is>
      </c>
    </row>
    <row r="91" ht="22" customHeight="1">
      <c r="A91" s="34" t="inlineStr"/>
      <c r="B91" s="34" t="inlineStr"/>
      <c r="C91" s="34" t="inlineStr"/>
      <c r="D91" s="29" t="inlineStr"/>
      <c r="E91" s="30" t="inlineStr">
        <is>
          <t>Opening % (share)</t>
        </is>
      </c>
      <c r="F91" s="28" t="inlineStr">
        <is>
          <t>F</t>
        </is>
      </c>
      <c r="G91" s="35">
        <f>IF(('Crude Inventory (Live Formulas)'!E36+E37+E38+E39)=0,0,'Crude Inventory (Live Formulas)'!E38/('Crude Inventory (Live Formulas)'!E36+E37+E38+E39))</f>
        <v/>
      </c>
      <c r="H91" s="36" t="inlineStr">
        <is>
          <t>IF / Division</t>
        </is>
      </c>
      <c r="I91" s="33" t="inlineStr">
        <is>
          <t>Crude's share of tank total opening vol. =0 if tank empty.</t>
        </is>
      </c>
    </row>
    <row r="92" ht="22" customHeight="1">
      <c r="A92" s="34" t="inlineStr"/>
      <c r="B92" s="34" t="inlineStr"/>
      <c r="C92" s="34" t="inlineStr"/>
      <c r="D92" s="29" t="inlineStr"/>
      <c r="E92" s="30" t="inlineStr">
        <is>
          <t>Closing Volume (MB)</t>
        </is>
      </c>
      <c r="F92" s="28" t="inlineStr">
        <is>
          <t>G</t>
        </is>
      </c>
      <c r="G92" s="31">
        <f>'Crude Inventory (Live Formulas)'!G38</f>
        <v/>
      </c>
      <c r="H92" s="32" t="inlineStr">
        <is>
          <t>Raw Value (cross-ref)</t>
        </is>
      </c>
      <c r="I92" s="33" t="inlineStr">
        <is>
          <t>Raw measured volume sourced directly from AORA Mass Balance System</t>
        </is>
      </c>
    </row>
    <row r="93" ht="22" customHeight="1">
      <c r="A93" s="34" t="inlineStr"/>
      <c r="B93" s="34" t="inlineStr"/>
      <c r="C93" s="34" t="inlineStr"/>
      <c r="D93" s="29" t="inlineStr"/>
      <c r="E93" s="30" t="inlineStr">
        <is>
          <t>Closing % (share)</t>
        </is>
      </c>
      <c r="F93" s="28" t="inlineStr">
        <is>
          <t>H</t>
        </is>
      </c>
      <c r="G93" s="35">
        <f>IF(('Crude Inventory (Live Formulas)'!G36+G37+G38+G39)=0,0,'Crude Inventory (Live Formulas)'!G38/('Crude Inventory (Live Formulas)'!G36+G37+G38+G39))</f>
        <v/>
      </c>
      <c r="H93" s="36" t="inlineStr">
        <is>
          <t>IF / Division</t>
        </is>
      </c>
      <c r="I93" s="33" t="inlineStr">
        <is>
          <t>Crude's share of tank total closing vol. =0 if tank empty.</t>
        </is>
      </c>
    </row>
    <row r="94" ht="22" customHeight="1">
      <c r="A94" s="28" t="n">
        <v>28</v>
      </c>
      <c r="B94" s="28" t="inlineStr">
        <is>
          <t>TK28</t>
        </is>
      </c>
      <c r="C94" s="28" t="inlineStr">
        <is>
          <t>RNC</t>
        </is>
      </c>
      <c r="D94" s="29" t="inlineStr">
        <is>
          <t>Renewable Naphtha Consumption</t>
        </is>
      </c>
      <c r="E94" s="30" t="inlineStr">
        <is>
          <t>Opening Volume (MB)</t>
        </is>
      </c>
      <c r="F94" s="28" t="inlineStr">
        <is>
          <t>E</t>
        </is>
      </c>
      <c r="G94" s="31">
        <f>'Crude Inventory (Live Formulas)'!E39</f>
        <v/>
      </c>
      <c r="H94" s="32" t="inlineStr">
        <is>
          <t>Raw Value (cross-ref)</t>
        </is>
      </c>
      <c r="I94" s="33" t="inlineStr">
        <is>
          <t>Raw measured volume sourced directly from AORA Mass Balance System</t>
        </is>
      </c>
    </row>
    <row r="95" ht="22" customHeight="1">
      <c r="A95" s="34" t="inlineStr"/>
      <c r="B95" s="34" t="inlineStr"/>
      <c r="C95" s="34" t="inlineStr"/>
      <c r="D95" s="29" t="inlineStr"/>
      <c r="E95" s="30" t="inlineStr">
        <is>
          <t>Opening % (share)</t>
        </is>
      </c>
      <c r="F95" s="28" t="inlineStr">
        <is>
          <t>F</t>
        </is>
      </c>
      <c r="G95" s="35">
        <f>IF(('Crude Inventory (Live Formulas)'!E36+E37+E38+E39)=0,0,'Crude Inventory (Live Formulas)'!E39/('Crude Inventory (Live Formulas)'!E36+E37+E38+E39))</f>
        <v/>
      </c>
      <c r="H95" s="36" t="inlineStr">
        <is>
          <t>IF / Division</t>
        </is>
      </c>
      <c r="I95" s="33" t="inlineStr">
        <is>
          <t>Crude's share of tank total opening vol. =0 if tank empty.</t>
        </is>
      </c>
    </row>
    <row r="96" ht="22" customHeight="1">
      <c r="A96" s="34" t="inlineStr"/>
      <c r="B96" s="34" t="inlineStr"/>
      <c r="C96" s="34" t="inlineStr"/>
      <c r="D96" s="29" t="inlineStr"/>
      <c r="E96" s="30" t="inlineStr">
        <is>
          <t>Closing Volume (MB)</t>
        </is>
      </c>
      <c r="F96" s="28" t="inlineStr">
        <is>
          <t>G</t>
        </is>
      </c>
      <c r="G96" s="31">
        <f>'Crude Inventory (Live Formulas)'!G39</f>
        <v/>
      </c>
      <c r="H96" s="32" t="inlineStr">
        <is>
          <t>Raw Value (cross-ref)</t>
        </is>
      </c>
      <c r="I96" s="33" t="inlineStr">
        <is>
          <t>Raw measured volume sourced directly from AORA Mass Balance System</t>
        </is>
      </c>
    </row>
    <row r="97" ht="22" customHeight="1">
      <c r="A97" s="34" t="inlineStr"/>
      <c r="B97" s="34" t="inlineStr"/>
      <c r="C97" s="34" t="inlineStr"/>
      <c r="D97" s="29" t="inlineStr"/>
      <c r="E97" s="30" t="inlineStr">
        <is>
          <t>Closing % (share)</t>
        </is>
      </c>
      <c r="F97" s="28" t="inlineStr">
        <is>
          <t>H</t>
        </is>
      </c>
      <c r="G97" s="35">
        <f>IF(('Crude Inventory (Live Formulas)'!G36+G37+G38+G39)=0,0,'Crude Inventory (Live Formulas)'!G39/('Crude Inventory (Live Formulas)'!G36+G37+G38+G39))</f>
        <v/>
      </c>
      <c r="H97" s="36" t="inlineStr">
        <is>
          <t>IF / Division</t>
        </is>
      </c>
      <c r="I97" s="33" t="inlineStr">
        <is>
          <t>Crude's share of tank total closing vol. =0 if tank empty.</t>
        </is>
      </c>
    </row>
    <row r="98" ht="22" customHeight="1">
      <c r="A98" s="37" t="n">
        <v>29</v>
      </c>
      <c r="B98" s="37" t="inlineStr">
        <is>
          <t>TK28</t>
        </is>
      </c>
      <c r="C98" s="37" t="inlineStr">
        <is>
          <t>TOTAL</t>
        </is>
      </c>
      <c r="D98" s="38" t="inlineStr">
        <is>
          <t>Total for TK28</t>
        </is>
      </c>
      <c r="E98" s="38" t="inlineStr">
        <is>
          <t>Opening Volume Total (MB)</t>
        </is>
      </c>
      <c r="F98" s="37" t="inlineStr">
        <is>
          <t>E</t>
        </is>
      </c>
      <c r="G98" s="39">
        <f>'Crude Inventory (Live Formulas)'!E36+E37+E38+E39</f>
        <v/>
      </c>
      <c r="H98" s="40" t="inlineStr">
        <is>
          <t>SUM</t>
        </is>
      </c>
      <c r="I98" s="41" t="inlineStr">
        <is>
          <t>Sum of all crude volumes in this tank group</t>
        </is>
      </c>
    </row>
    <row r="99" ht="22" customHeight="1">
      <c r="A99" s="7" t="n">
        <v>30</v>
      </c>
      <c r="B99" s="7" t="inlineStr">
        <is>
          <t>TK3</t>
        </is>
      </c>
      <c r="C99" s="7" t="inlineStr">
        <is>
          <t>BAH</t>
        </is>
      </c>
      <c r="D99" s="6" t="inlineStr">
        <is>
          <t>Basrah Heavy</t>
        </is>
      </c>
      <c r="E99" s="42" t="inlineStr">
        <is>
          <t>Opening Volume (MB)</t>
        </is>
      </c>
      <c r="F99" s="7" t="inlineStr">
        <is>
          <t>E</t>
        </is>
      </c>
      <c r="G99" s="31">
        <f>'Crude Inventory (Live Formulas)'!E42</f>
        <v/>
      </c>
      <c r="H99" s="32" t="inlineStr">
        <is>
          <t>Raw Value (cross-ref)</t>
        </is>
      </c>
      <c r="I99" s="43" t="inlineStr">
        <is>
          <t>Raw measured volume sourced directly from AORA Mass Balance System</t>
        </is>
      </c>
    </row>
    <row r="100" ht="22" customHeight="1">
      <c r="A100" s="19" t="inlineStr"/>
      <c r="B100" s="19" t="inlineStr"/>
      <c r="C100" s="19" t="inlineStr"/>
      <c r="D100" s="6" t="inlineStr"/>
      <c r="E100" s="42" t="inlineStr">
        <is>
          <t>Opening % (share)</t>
        </is>
      </c>
      <c r="F100" s="7" t="inlineStr">
        <is>
          <t>F</t>
        </is>
      </c>
      <c r="G100" s="35">
        <f>IF(('Crude Inventory (Live Formulas)'!E42)=0,0,'Crude Inventory (Live Formulas)'!E42/('Crude Inventory (Live Formulas)'!E42))</f>
        <v/>
      </c>
      <c r="H100" s="36" t="inlineStr">
        <is>
          <t>IF / Division</t>
        </is>
      </c>
      <c r="I100" s="43" t="inlineStr">
        <is>
          <t>Crude's share of tank total opening vol. =0 if tank empty.</t>
        </is>
      </c>
    </row>
    <row r="101" ht="22" customHeight="1">
      <c r="A101" s="19" t="inlineStr"/>
      <c r="B101" s="19" t="inlineStr"/>
      <c r="C101" s="19" t="inlineStr"/>
      <c r="D101" s="6" t="inlineStr"/>
      <c r="E101" s="42" t="inlineStr">
        <is>
          <t>Closing Volume (MB)</t>
        </is>
      </c>
      <c r="F101" s="7" t="inlineStr">
        <is>
          <t>G</t>
        </is>
      </c>
      <c r="G101" s="31">
        <f>'Crude Inventory (Live Formulas)'!G42</f>
        <v/>
      </c>
      <c r="H101" s="32" t="inlineStr">
        <is>
          <t>Raw Value (cross-ref)</t>
        </is>
      </c>
      <c r="I101" s="43" t="inlineStr">
        <is>
          <t>Raw measured volume sourced directly from AORA Mass Balance System</t>
        </is>
      </c>
    </row>
    <row r="102" ht="22" customHeight="1">
      <c r="A102" s="19" t="inlineStr"/>
      <c r="B102" s="19" t="inlineStr"/>
      <c r="C102" s="19" t="inlineStr"/>
      <c r="D102" s="6" t="inlineStr"/>
      <c r="E102" s="42" t="inlineStr">
        <is>
          <t>Closing % (share)</t>
        </is>
      </c>
      <c r="F102" s="7" t="inlineStr">
        <is>
          <t>H</t>
        </is>
      </c>
      <c r="G102" s="35">
        <f>IF(('Crude Inventory (Live Formulas)'!G42)=0,0,'Crude Inventory (Live Formulas)'!G42/('Crude Inventory (Live Formulas)'!G42))</f>
        <v/>
      </c>
      <c r="H102" s="36" t="inlineStr">
        <is>
          <t>IF / Division</t>
        </is>
      </c>
      <c r="I102" s="43" t="inlineStr">
        <is>
          <t>Crude's share of tank total closing vol. =0 if tank empty.</t>
        </is>
      </c>
    </row>
    <row r="103" ht="22" customHeight="1">
      <c r="A103" s="37" t="n">
        <v>31</v>
      </c>
      <c r="B103" s="37" t="inlineStr">
        <is>
          <t>TK3</t>
        </is>
      </c>
      <c r="C103" s="37" t="inlineStr">
        <is>
          <t>TOTAL</t>
        </is>
      </c>
      <c r="D103" s="38" t="inlineStr">
        <is>
          <t>Total for TK3</t>
        </is>
      </c>
      <c r="E103" s="38" t="inlineStr">
        <is>
          <t>Opening Volume Total (MB)</t>
        </is>
      </c>
      <c r="F103" s="37" t="inlineStr">
        <is>
          <t>E</t>
        </is>
      </c>
      <c r="G103" s="39">
        <f>'Crude Inventory (Live Formulas)'!E42</f>
        <v/>
      </c>
      <c r="H103" s="40" t="inlineStr">
        <is>
          <t>SUM</t>
        </is>
      </c>
      <c r="I103" s="41" t="inlineStr">
        <is>
          <t>Sum of all crude volumes in this tank group</t>
        </is>
      </c>
    </row>
    <row r="104" ht="22" customHeight="1">
      <c r="A104" s="28" t="n">
        <v>32</v>
      </c>
      <c r="B104" s="28" t="inlineStr">
        <is>
          <t>TK5</t>
        </is>
      </c>
      <c r="C104" s="28" t="inlineStr">
        <is>
          <t>BAH</t>
        </is>
      </c>
      <c r="D104" s="29" t="inlineStr">
        <is>
          <t>Basrah Heavy</t>
        </is>
      </c>
      <c r="E104" s="30" t="inlineStr">
        <is>
          <t>Opening Volume (MB)</t>
        </is>
      </c>
      <c r="F104" s="28" t="inlineStr">
        <is>
          <t>E</t>
        </is>
      </c>
      <c r="G104" s="31">
        <f>'Crude Inventory (Live Formulas)'!E45</f>
        <v/>
      </c>
      <c r="H104" s="32" t="inlineStr">
        <is>
          <t>Raw Value (cross-ref)</t>
        </is>
      </c>
      <c r="I104" s="33" t="inlineStr">
        <is>
          <t>Raw measured volume sourced directly from AORA Mass Balance System</t>
        </is>
      </c>
    </row>
    <row r="105" ht="22" customHeight="1">
      <c r="A105" s="34" t="inlineStr"/>
      <c r="B105" s="34" t="inlineStr"/>
      <c r="C105" s="34" t="inlineStr"/>
      <c r="D105" s="29" t="inlineStr"/>
      <c r="E105" s="30" t="inlineStr">
        <is>
          <t>Opening % (share)</t>
        </is>
      </c>
      <c r="F105" s="28" t="inlineStr">
        <is>
          <t>F</t>
        </is>
      </c>
      <c r="G105" s="35">
        <f>IF(('Crude Inventory (Live Formulas)'!E45+E46+E47)=0,0,'Crude Inventory (Live Formulas)'!E45/('Crude Inventory (Live Formulas)'!E45+E46+E47))</f>
        <v/>
      </c>
      <c r="H105" s="36" t="inlineStr">
        <is>
          <t>IF / Division</t>
        </is>
      </c>
      <c r="I105" s="33" t="inlineStr">
        <is>
          <t>Crude's share of tank total opening vol. =0 if tank empty.</t>
        </is>
      </c>
    </row>
    <row r="106" ht="22" customHeight="1">
      <c r="A106" s="34" t="inlineStr"/>
      <c r="B106" s="34" t="inlineStr"/>
      <c r="C106" s="34" t="inlineStr"/>
      <c r="D106" s="29" t="inlineStr"/>
      <c r="E106" s="30" t="inlineStr">
        <is>
          <t>Closing Volume (MB)</t>
        </is>
      </c>
      <c r="F106" s="28" t="inlineStr">
        <is>
          <t>G</t>
        </is>
      </c>
      <c r="G106" s="31">
        <f>'Crude Inventory (Live Formulas)'!G45</f>
        <v/>
      </c>
      <c r="H106" s="32" t="inlineStr">
        <is>
          <t>Raw Value (cross-ref)</t>
        </is>
      </c>
      <c r="I106" s="33" t="inlineStr">
        <is>
          <t>Raw measured volume sourced directly from AORA Mass Balance System</t>
        </is>
      </c>
    </row>
    <row r="107" ht="22" customHeight="1">
      <c r="A107" s="34" t="inlineStr"/>
      <c r="B107" s="34" t="inlineStr"/>
      <c r="C107" s="34" t="inlineStr"/>
      <c r="D107" s="29" t="inlineStr"/>
      <c r="E107" s="30" t="inlineStr">
        <is>
          <t>Closing % (share)</t>
        </is>
      </c>
      <c r="F107" s="28" t="inlineStr">
        <is>
          <t>H</t>
        </is>
      </c>
      <c r="G107" s="35">
        <f>IF(('Crude Inventory (Live Formulas)'!G45+G46+G47)=0,0,'Crude Inventory (Live Formulas)'!G45/('Crude Inventory (Live Formulas)'!G45+G46+G47))</f>
        <v/>
      </c>
      <c r="H107" s="36" t="inlineStr">
        <is>
          <t>IF / Division</t>
        </is>
      </c>
      <c r="I107" s="33" t="inlineStr">
        <is>
          <t>Crude's share of tank total closing vol. =0 if tank empty.</t>
        </is>
      </c>
    </row>
    <row r="108" ht="22" customHeight="1">
      <c r="A108" s="28" t="n">
        <v>33</v>
      </c>
      <c r="B108" s="28" t="inlineStr">
        <is>
          <t>TK5</t>
        </is>
      </c>
      <c r="C108" s="28" t="inlineStr">
        <is>
          <t>BAM</t>
        </is>
      </c>
      <c r="D108" s="29" t="inlineStr">
        <is>
          <t>Basrah Medium</t>
        </is>
      </c>
      <c r="E108" s="30" t="inlineStr">
        <is>
          <t>Opening Volume (MB)</t>
        </is>
      </c>
      <c r="F108" s="28" t="inlineStr">
        <is>
          <t>E</t>
        </is>
      </c>
      <c r="G108" s="31">
        <f>'Crude Inventory (Live Formulas)'!E46</f>
        <v/>
      </c>
      <c r="H108" s="32" t="inlineStr">
        <is>
          <t>Raw Value (cross-ref)</t>
        </is>
      </c>
      <c r="I108" s="33" t="inlineStr">
        <is>
          <t>Raw measured volume sourced directly from AORA Mass Balance System</t>
        </is>
      </c>
    </row>
    <row r="109" ht="22" customHeight="1">
      <c r="A109" s="34" t="inlineStr"/>
      <c r="B109" s="34" t="inlineStr"/>
      <c r="C109" s="34" t="inlineStr"/>
      <c r="D109" s="29" t="inlineStr"/>
      <c r="E109" s="30" t="inlineStr">
        <is>
          <t>Opening % (share)</t>
        </is>
      </c>
      <c r="F109" s="28" t="inlineStr">
        <is>
          <t>F</t>
        </is>
      </c>
      <c r="G109" s="35">
        <f>IF(('Crude Inventory (Live Formulas)'!E45+E46+E47)=0,0,'Crude Inventory (Live Formulas)'!E46/('Crude Inventory (Live Formulas)'!E45+E46+E47))</f>
        <v/>
      </c>
      <c r="H109" s="36" t="inlineStr">
        <is>
          <t>IF / Division</t>
        </is>
      </c>
      <c r="I109" s="33" t="inlineStr">
        <is>
          <t>Crude's share of tank total opening vol. =0 if tank empty.</t>
        </is>
      </c>
    </row>
    <row r="110" ht="22" customHeight="1">
      <c r="A110" s="34" t="inlineStr"/>
      <c r="B110" s="34" t="inlineStr"/>
      <c r="C110" s="34" t="inlineStr"/>
      <c r="D110" s="29" t="inlineStr"/>
      <c r="E110" s="30" t="inlineStr">
        <is>
          <t>Closing Volume (MB)</t>
        </is>
      </c>
      <c r="F110" s="28" t="inlineStr">
        <is>
          <t>G</t>
        </is>
      </c>
      <c r="G110" s="31">
        <f>'Crude Inventory (Live Formulas)'!G46</f>
        <v/>
      </c>
      <c r="H110" s="32" t="inlineStr">
        <is>
          <t>Raw Value (cross-ref)</t>
        </is>
      </c>
      <c r="I110" s="33" t="inlineStr">
        <is>
          <t>Raw measured volume sourced directly from AORA Mass Balance System</t>
        </is>
      </c>
    </row>
    <row r="111" ht="22" customHeight="1">
      <c r="A111" s="34" t="inlineStr"/>
      <c r="B111" s="34" t="inlineStr"/>
      <c r="C111" s="34" t="inlineStr"/>
      <c r="D111" s="29" t="inlineStr"/>
      <c r="E111" s="30" t="inlineStr">
        <is>
          <t>Closing % (share)</t>
        </is>
      </c>
      <c r="F111" s="28" t="inlineStr">
        <is>
          <t>H</t>
        </is>
      </c>
      <c r="G111" s="35">
        <f>IF(('Crude Inventory (Live Formulas)'!G45+G46+G47)=0,0,'Crude Inventory (Live Formulas)'!G46/('Crude Inventory (Live Formulas)'!G45+G46+G47))</f>
        <v/>
      </c>
      <c r="H111" s="36" t="inlineStr">
        <is>
          <t>IF / Division</t>
        </is>
      </c>
      <c r="I111" s="33" t="inlineStr">
        <is>
          <t>Crude's share of tank total closing vol. =0 if tank empty.</t>
        </is>
      </c>
    </row>
    <row r="112" ht="22" customHeight="1">
      <c r="A112" s="28" t="n">
        <v>34</v>
      </c>
      <c r="B112" s="28" t="inlineStr">
        <is>
          <t>TK5</t>
        </is>
      </c>
      <c r="C112" s="28" t="inlineStr">
        <is>
          <t>ORN</t>
        </is>
      </c>
      <c r="D112" s="29" t="inlineStr">
        <is>
          <t>Oriente</t>
        </is>
      </c>
      <c r="E112" s="30" t="inlineStr">
        <is>
          <t>Opening Volume (MB)</t>
        </is>
      </c>
      <c r="F112" s="28" t="inlineStr">
        <is>
          <t>E</t>
        </is>
      </c>
      <c r="G112" s="31">
        <f>'Crude Inventory (Live Formulas)'!E47</f>
        <v/>
      </c>
      <c r="H112" s="32" t="inlineStr">
        <is>
          <t>Raw Value (cross-ref)</t>
        </is>
      </c>
      <c r="I112" s="33" t="inlineStr">
        <is>
          <t>Raw measured volume sourced directly from AORA Mass Balance System</t>
        </is>
      </c>
    </row>
    <row r="113" ht="22" customHeight="1">
      <c r="A113" s="34" t="inlineStr"/>
      <c r="B113" s="34" t="inlineStr"/>
      <c r="C113" s="34" t="inlineStr"/>
      <c r="D113" s="29" t="inlineStr"/>
      <c r="E113" s="30" t="inlineStr">
        <is>
          <t>Opening % (share)</t>
        </is>
      </c>
      <c r="F113" s="28" t="inlineStr">
        <is>
          <t>F</t>
        </is>
      </c>
      <c r="G113" s="35">
        <f>IF(('Crude Inventory (Live Formulas)'!E45+E46+E47)=0,0,'Crude Inventory (Live Formulas)'!E47/('Crude Inventory (Live Formulas)'!E45+E46+E47))</f>
        <v/>
      </c>
      <c r="H113" s="36" t="inlineStr">
        <is>
          <t>IF / Division</t>
        </is>
      </c>
      <c r="I113" s="33" t="inlineStr">
        <is>
          <t>Crude's share of tank total opening vol. =0 if tank empty.</t>
        </is>
      </c>
    </row>
    <row r="114" ht="22" customHeight="1">
      <c r="A114" s="34" t="inlineStr"/>
      <c r="B114" s="34" t="inlineStr"/>
      <c r="C114" s="34" t="inlineStr"/>
      <c r="D114" s="29" t="inlineStr"/>
      <c r="E114" s="30" t="inlineStr">
        <is>
          <t>Closing Volume (MB)</t>
        </is>
      </c>
      <c r="F114" s="28" t="inlineStr">
        <is>
          <t>G</t>
        </is>
      </c>
      <c r="G114" s="31">
        <f>'Crude Inventory (Live Formulas)'!G47</f>
        <v/>
      </c>
      <c r="H114" s="32" t="inlineStr">
        <is>
          <t>Raw Value (cross-ref)</t>
        </is>
      </c>
      <c r="I114" s="33" t="inlineStr">
        <is>
          <t>Raw measured volume sourced directly from AORA Mass Balance System</t>
        </is>
      </c>
    </row>
    <row r="115" ht="22" customHeight="1">
      <c r="A115" s="34" t="inlineStr"/>
      <c r="B115" s="34" t="inlineStr"/>
      <c r="C115" s="34" t="inlineStr"/>
      <c r="D115" s="29" t="inlineStr"/>
      <c r="E115" s="30" t="inlineStr">
        <is>
          <t>Closing % (share)</t>
        </is>
      </c>
      <c r="F115" s="28" t="inlineStr">
        <is>
          <t>H</t>
        </is>
      </c>
      <c r="G115" s="35">
        <f>IF(('Crude Inventory (Live Formulas)'!G45+G46+G47)=0,0,'Crude Inventory (Live Formulas)'!G47/('Crude Inventory (Live Formulas)'!G45+G46+G47))</f>
        <v/>
      </c>
      <c r="H115" s="36" t="inlineStr">
        <is>
          <t>IF / Division</t>
        </is>
      </c>
      <c r="I115" s="33" t="inlineStr">
        <is>
          <t>Crude's share of tank total closing vol. =0 if tank empty.</t>
        </is>
      </c>
    </row>
    <row r="116" ht="22" customHeight="1">
      <c r="A116" s="37" t="n">
        <v>35</v>
      </c>
      <c r="B116" s="37" t="inlineStr">
        <is>
          <t>TK5</t>
        </is>
      </c>
      <c r="C116" s="37" t="inlineStr">
        <is>
          <t>TOTAL</t>
        </is>
      </c>
      <c r="D116" s="38" t="inlineStr">
        <is>
          <t>Total for TK5</t>
        </is>
      </c>
      <c r="E116" s="38" t="inlineStr">
        <is>
          <t>Opening Volume Total (MB)</t>
        </is>
      </c>
      <c r="F116" s="37" t="inlineStr">
        <is>
          <t>E</t>
        </is>
      </c>
      <c r="G116" s="39">
        <f>'Crude Inventory (Live Formulas)'!E45+E46+E47</f>
        <v/>
      </c>
      <c r="H116" s="40" t="inlineStr">
        <is>
          <t>SUM</t>
        </is>
      </c>
      <c r="I116" s="41" t="inlineStr">
        <is>
          <t>Sum of all crude volumes in this tank group</t>
        </is>
      </c>
    </row>
    <row r="117" ht="22" customHeight="1">
      <c r="A117" s="7" t="n">
        <v>36</v>
      </c>
      <c r="B117" s="7" t="inlineStr">
        <is>
          <t>TK6</t>
        </is>
      </c>
      <c r="C117" s="7" t="inlineStr">
        <is>
          <t>ANS</t>
        </is>
      </c>
      <c r="D117" s="6" t="inlineStr">
        <is>
          <t>Alaskan North Slope</t>
        </is>
      </c>
      <c r="E117" s="42" t="inlineStr">
        <is>
          <t>Opening Volume (MB)</t>
        </is>
      </c>
      <c r="F117" s="7" t="inlineStr">
        <is>
          <t>E</t>
        </is>
      </c>
      <c r="G117" s="31">
        <f>'Crude Inventory (Live Formulas)'!E50</f>
        <v/>
      </c>
      <c r="H117" s="32" t="inlineStr">
        <is>
          <t>Raw Value (cross-ref)</t>
        </is>
      </c>
      <c r="I117" s="43" t="inlineStr">
        <is>
          <t>Raw measured volume sourced directly from AORA Mass Balance System</t>
        </is>
      </c>
    </row>
    <row r="118" ht="22" customHeight="1">
      <c r="A118" s="19" t="inlineStr"/>
      <c r="B118" s="19" t="inlineStr"/>
      <c r="C118" s="19" t="inlineStr"/>
      <c r="D118" s="6" t="inlineStr"/>
      <c r="E118" s="42" t="inlineStr">
        <is>
          <t>Opening % (share)</t>
        </is>
      </c>
      <c r="F118" s="7" t="inlineStr">
        <is>
          <t>F</t>
        </is>
      </c>
      <c r="G118" s="35">
        <f>IF(('Crude Inventory (Live Formulas)'!E50+E51)=0,0,'Crude Inventory (Live Formulas)'!E50/('Crude Inventory (Live Formulas)'!E50+E51))</f>
        <v/>
      </c>
      <c r="H118" s="36" t="inlineStr">
        <is>
          <t>IF / Division</t>
        </is>
      </c>
      <c r="I118" s="43" t="inlineStr">
        <is>
          <t>Crude's share of tank total opening vol. =0 if tank empty.</t>
        </is>
      </c>
    </row>
    <row r="119" ht="22" customHeight="1">
      <c r="A119" s="19" t="inlineStr"/>
      <c r="B119" s="19" t="inlineStr"/>
      <c r="C119" s="19" t="inlineStr"/>
      <c r="D119" s="6" t="inlineStr"/>
      <c r="E119" s="42" t="inlineStr">
        <is>
          <t>Closing Volume (MB)</t>
        </is>
      </c>
      <c r="F119" s="7" t="inlineStr">
        <is>
          <t>G</t>
        </is>
      </c>
      <c r="G119" s="31">
        <f>'Crude Inventory (Live Formulas)'!G50</f>
        <v/>
      </c>
      <c r="H119" s="32" t="inlineStr">
        <is>
          <t>Raw Value (cross-ref)</t>
        </is>
      </c>
      <c r="I119" s="43" t="inlineStr">
        <is>
          <t>Raw measured volume sourced directly from AORA Mass Balance System</t>
        </is>
      </c>
    </row>
    <row r="120" ht="22" customHeight="1">
      <c r="A120" s="19" t="inlineStr"/>
      <c r="B120" s="19" t="inlineStr"/>
      <c r="C120" s="19" t="inlineStr"/>
      <c r="D120" s="6" t="inlineStr"/>
      <c r="E120" s="42" t="inlineStr">
        <is>
          <t>Closing % (share)</t>
        </is>
      </c>
      <c r="F120" s="7" t="inlineStr">
        <is>
          <t>H</t>
        </is>
      </c>
      <c r="G120" s="35">
        <f>IF(('Crude Inventory (Live Formulas)'!G50+G51)=0,0,'Crude Inventory (Live Formulas)'!G50/('Crude Inventory (Live Formulas)'!G50+G51))</f>
        <v/>
      </c>
      <c r="H120" s="36" t="inlineStr">
        <is>
          <t>IF / Division</t>
        </is>
      </c>
      <c r="I120" s="43" t="inlineStr">
        <is>
          <t>Crude's share of tank total closing vol. =0 if tank empty.</t>
        </is>
      </c>
    </row>
    <row r="121" ht="22" customHeight="1">
      <c r="A121" s="7" t="n">
        <v>37</v>
      </c>
      <c r="B121" s="7" t="inlineStr">
        <is>
          <t>TK6</t>
        </is>
      </c>
      <c r="C121" s="7" t="inlineStr">
        <is>
          <t>BAM</t>
        </is>
      </c>
      <c r="D121" s="6" t="inlineStr">
        <is>
          <t>Basrah Medium</t>
        </is>
      </c>
      <c r="E121" s="42" t="inlineStr">
        <is>
          <t>Opening Volume (MB)</t>
        </is>
      </c>
      <c r="F121" s="7" t="inlineStr">
        <is>
          <t>E</t>
        </is>
      </c>
      <c r="G121" s="31">
        <f>'Crude Inventory (Live Formulas)'!E51</f>
        <v/>
      </c>
      <c r="H121" s="32" t="inlineStr">
        <is>
          <t>Raw Value (cross-ref)</t>
        </is>
      </c>
      <c r="I121" s="43" t="inlineStr">
        <is>
          <t>Raw measured volume sourced directly from AORA Mass Balance System</t>
        </is>
      </c>
    </row>
    <row r="122" ht="22" customHeight="1">
      <c r="A122" s="19" t="inlineStr"/>
      <c r="B122" s="19" t="inlineStr"/>
      <c r="C122" s="19" t="inlineStr"/>
      <c r="D122" s="6" t="inlineStr"/>
      <c r="E122" s="42" t="inlineStr">
        <is>
          <t>Opening % (share)</t>
        </is>
      </c>
      <c r="F122" s="7" t="inlineStr">
        <is>
          <t>F</t>
        </is>
      </c>
      <c r="G122" s="35">
        <f>IF(('Crude Inventory (Live Formulas)'!E50+E51)=0,0,'Crude Inventory (Live Formulas)'!E51/('Crude Inventory (Live Formulas)'!E50+E51))</f>
        <v/>
      </c>
      <c r="H122" s="36" t="inlineStr">
        <is>
          <t>IF / Division</t>
        </is>
      </c>
      <c r="I122" s="43" t="inlineStr">
        <is>
          <t>Crude's share of tank total opening vol. =0 if tank empty.</t>
        </is>
      </c>
    </row>
    <row r="123" ht="22" customHeight="1">
      <c r="A123" s="19" t="inlineStr"/>
      <c r="B123" s="19" t="inlineStr"/>
      <c r="C123" s="19" t="inlineStr"/>
      <c r="D123" s="6" t="inlineStr"/>
      <c r="E123" s="42" t="inlineStr">
        <is>
          <t>Closing Volume (MB)</t>
        </is>
      </c>
      <c r="F123" s="7" t="inlineStr">
        <is>
          <t>G</t>
        </is>
      </c>
      <c r="G123" s="31">
        <f>'Crude Inventory (Live Formulas)'!G51</f>
        <v/>
      </c>
      <c r="H123" s="32" t="inlineStr">
        <is>
          <t>Raw Value (cross-ref)</t>
        </is>
      </c>
      <c r="I123" s="43" t="inlineStr">
        <is>
          <t>Raw measured volume sourced directly from AORA Mass Balance System</t>
        </is>
      </c>
    </row>
    <row r="124" ht="22" customHeight="1">
      <c r="A124" s="19" t="inlineStr"/>
      <c r="B124" s="19" t="inlineStr"/>
      <c r="C124" s="19" t="inlineStr"/>
      <c r="D124" s="6" t="inlineStr"/>
      <c r="E124" s="42" t="inlineStr">
        <is>
          <t>Closing % (share)</t>
        </is>
      </c>
      <c r="F124" s="7" t="inlineStr">
        <is>
          <t>H</t>
        </is>
      </c>
      <c r="G124" s="35">
        <f>IF(('Crude Inventory (Live Formulas)'!G50+G51)=0,0,'Crude Inventory (Live Formulas)'!G51/('Crude Inventory (Live Formulas)'!G50+G51))</f>
        <v/>
      </c>
      <c r="H124" s="36" t="inlineStr">
        <is>
          <t>IF / Division</t>
        </is>
      </c>
      <c r="I124" s="43" t="inlineStr">
        <is>
          <t>Crude's share of tank total closing vol. =0 if tank empty.</t>
        </is>
      </c>
    </row>
    <row r="125" ht="22" customHeight="1">
      <c r="A125" s="37" t="n">
        <v>38</v>
      </c>
      <c r="B125" s="37" t="inlineStr">
        <is>
          <t>TK6</t>
        </is>
      </c>
      <c r="C125" s="37" t="inlineStr">
        <is>
          <t>TOTAL</t>
        </is>
      </c>
      <c r="D125" s="38" t="inlineStr">
        <is>
          <t>Total for TK6</t>
        </is>
      </c>
      <c r="E125" s="38" t="inlineStr">
        <is>
          <t>Opening Volume Total (MB)</t>
        </is>
      </c>
      <c r="F125" s="37" t="inlineStr">
        <is>
          <t>E</t>
        </is>
      </c>
      <c r="G125" s="39">
        <f>'Crude Inventory (Live Formulas)'!E50+E51</f>
        <v/>
      </c>
      <c r="H125" s="40" t="inlineStr">
        <is>
          <t>SUM</t>
        </is>
      </c>
      <c r="I125" s="41" t="inlineStr">
        <is>
          <t>Sum of all crude volumes in this tank group</t>
        </is>
      </c>
    </row>
    <row r="126" ht="22" customHeight="1">
      <c r="A126" s="28" t="n">
        <v>39</v>
      </c>
      <c r="B126" s="28" t="inlineStr">
        <is>
          <t>TK8</t>
        </is>
      </c>
      <c r="C126" s="28" t="inlineStr">
        <is>
          <t>ANS</t>
        </is>
      </c>
      <c r="D126" s="29" t="inlineStr">
        <is>
          <t>Alaskan North Slope</t>
        </is>
      </c>
      <c r="E126" s="30" t="inlineStr">
        <is>
          <t>Opening Volume (MB)</t>
        </is>
      </c>
      <c r="F126" s="28" t="inlineStr">
        <is>
          <t>E</t>
        </is>
      </c>
      <c r="G126" s="31">
        <f>'Crude Inventory (Live Formulas)'!E54</f>
        <v/>
      </c>
      <c r="H126" s="32" t="inlineStr">
        <is>
          <t>Raw Value (cross-ref)</t>
        </is>
      </c>
      <c r="I126" s="33" t="inlineStr">
        <is>
          <t>Raw measured volume sourced directly from AORA Mass Balance System</t>
        </is>
      </c>
    </row>
    <row r="127" ht="22" customHeight="1">
      <c r="A127" s="34" t="inlineStr"/>
      <c r="B127" s="34" t="inlineStr"/>
      <c r="C127" s="34" t="inlineStr"/>
      <c r="D127" s="29" t="inlineStr"/>
      <c r="E127" s="30" t="inlineStr">
        <is>
          <t>Opening % (share)</t>
        </is>
      </c>
      <c r="F127" s="28" t="inlineStr">
        <is>
          <t>F</t>
        </is>
      </c>
      <c r="G127" s="35">
        <f>IF(('Crude Inventory (Live Formulas)'!E54+E55+E56+E57)=0,0,'Crude Inventory (Live Formulas)'!E54/('Crude Inventory (Live Formulas)'!E54+E55+E56+E57))</f>
        <v/>
      </c>
      <c r="H127" s="36" t="inlineStr">
        <is>
          <t>IF / Division</t>
        </is>
      </c>
      <c r="I127" s="33" t="inlineStr">
        <is>
          <t>Crude's share of tank total opening vol. =0 if tank empty.</t>
        </is>
      </c>
    </row>
    <row r="128" ht="22" customHeight="1">
      <c r="A128" s="34" t="inlineStr"/>
      <c r="B128" s="34" t="inlineStr"/>
      <c r="C128" s="34" t="inlineStr"/>
      <c r="D128" s="29" t="inlineStr"/>
      <c r="E128" s="30" t="inlineStr">
        <is>
          <t>Closing Volume (MB)</t>
        </is>
      </c>
      <c r="F128" s="28" t="inlineStr">
        <is>
          <t>G</t>
        </is>
      </c>
      <c r="G128" s="31">
        <f>'Crude Inventory (Live Formulas)'!G54</f>
        <v/>
      </c>
      <c r="H128" s="32" t="inlineStr">
        <is>
          <t>Raw Value (cross-ref)</t>
        </is>
      </c>
      <c r="I128" s="33" t="inlineStr">
        <is>
          <t>Raw measured volume sourced directly from AORA Mass Balance System</t>
        </is>
      </c>
    </row>
    <row r="129" ht="22" customHeight="1">
      <c r="A129" s="34" t="inlineStr"/>
      <c r="B129" s="34" t="inlineStr"/>
      <c r="C129" s="34" t="inlineStr"/>
      <c r="D129" s="29" t="inlineStr"/>
      <c r="E129" s="30" t="inlineStr">
        <is>
          <t>Closing % (share)</t>
        </is>
      </c>
      <c r="F129" s="28" t="inlineStr">
        <is>
          <t>H</t>
        </is>
      </c>
      <c r="G129" s="35">
        <f>IF(('Crude Inventory (Live Formulas)'!G54+G55+G56+G57)=0,0,'Crude Inventory (Live Formulas)'!G54/('Crude Inventory (Live Formulas)'!G54+G55+G56+G57))</f>
        <v/>
      </c>
      <c r="H129" s="36" t="inlineStr">
        <is>
          <t>IF / Division</t>
        </is>
      </c>
      <c r="I129" s="33" t="inlineStr">
        <is>
          <t>Crude's share of tank total closing vol. =0 if tank empty.</t>
        </is>
      </c>
    </row>
    <row r="130" ht="22" customHeight="1">
      <c r="A130" s="28" t="n">
        <v>40</v>
      </c>
      <c r="B130" s="28" t="inlineStr">
        <is>
          <t>TK8</t>
        </is>
      </c>
      <c r="C130" s="28" t="inlineStr">
        <is>
          <t>BAM</t>
        </is>
      </c>
      <c r="D130" s="29" t="inlineStr">
        <is>
          <t>Basrah Medium</t>
        </is>
      </c>
      <c r="E130" s="30" t="inlineStr">
        <is>
          <t>Opening Volume (MB)</t>
        </is>
      </c>
      <c r="F130" s="28" t="inlineStr">
        <is>
          <t>E</t>
        </is>
      </c>
      <c r="G130" s="31">
        <f>'Crude Inventory (Live Formulas)'!E55</f>
        <v/>
      </c>
      <c r="H130" s="32" t="inlineStr">
        <is>
          <t>Raw Value (cross-ref)</t>
        </is>
      </c>
      <c r="I130" s="33" t="inlineStr">
        <is>
          <t>Raw measured volume sourced directly from AORA Mass Balance System</t>
        </is>
      </c>
    </row>
    <row r="131" ht="22" customHeight="1">
      <c r="A131" s="34" t="inlineStr"/>
      <c r="B131" s="34" t="inlineStr"/>
      <c r="C131" s="34" t="inlineStr"/>
      <c r="D131" s="29" t="inlineStr"/>
      <c r="E131" s="30" t="inlineStr">
        <is>
          <t>Opening % (share)</t>
        </is>
      </c>
      <c r="F131" s="28" t="inlineStr">
        <is>
          <t>F</t>
        </is>
      </c>
      <c r="G131" s="35">
        <f>IF(('Crude Inventory (Live Formulas)'!E54+E55+E56+E57)=0,0,'Crude Inventory (Live Formulas)'!E55/('Crude Inventory (Live Formulas)'!E54+E55+E56+E57))</f>
        <v/>
      </c>
      <c r="H131" s="36" t="inlineStr">
        <is>
          <t>IF / Division</t>
        </is>
      </c>
      <c r="I131" s="33" t="inlineStr">
        <is>
          <t>Crude's share of tank total opening vol. =0 if tank empty.</t>
        </is>
      </c>
    </row>
    <row r="132" ht="22" customHeight="1">
      <c r="A132" s="34" t="inlineStr"/>
      <c r="B132" s="34" t="inlineStr"/>
      <c r="C132" s="34" t="inlineStr"/>
      <c r="D132" s="29" t="inlineStr"/>
      <c r="E132" s="30" t="inlineStr">
        <is>
          <t>Closing Volume (MB)</t>
        </is>
      </c>
      <c r="F132" s="28" t="inlineStr">
        <is>
          <t>G</t>
        </is>
      </c>
      <c r="G132" s="31">
        <f>'Crude Inventory (Live Formulas)'!G55</f>
        <v/>
      </c>
      <c r="H132" s="32" t="inlineStr">
        <is>
          <t>Raw Value (cross-ref)</t>
        </is>
      </c>
      <c r="I132" s="33" t="inlineStr">
        <is>
          <t>Raw measured volume sourced directly from AORA Mass Balance System</t>
        </is>
      </c>
    </row>
    <row r="133" ht="22" customHeight="1">
      <c r="A133" s="34" t="inlineStr"/>
      <c r="B133" s="34" t="inlineStr"/>
      <c r="C133" s="34" t="inlineStr"/>
      <c r="D133" s="29" t="inlineStr"/>
      <c r="E133" s="30" t="inlineStr">
        <is>
          <t>Closing % (share)</t>
        </is>
      </c>
      <c r="F133" s="28" t="inlineStr">
        <is>
          <t>H</t>
        </is>
      </c>
      <c r="G133" s="35">
        <f>IF(('Crude Inventory (Live Formulas)'!G54+G55+G56+G57)=0,0,'Crude Inventory (Live Formulas)'!G55/('Crude Inventory (Live Formulas)'!G54+G55+G56+G57))</f>
        <v/>
      </c>
      <c r="H133" s="36" t="inlineStr">
        <is>
          <t>IF / Division</t>
        </is>
      </c>
      <c r="I133" s="33" t="inlineStr">
        <is>
          <t>Crude's share of tank total closing vol. =0 if tank empty.</t>
        </is>
      </c>
    </row>
    <row r="134" ht="22" customHeight="1">
      <c r="A134" s="28" t="n">
        <v>41</v>
      </c>
      <c r="B134" s="28" t="inlineStr">
        <is>
          <t>TK8</t>
        </is>
      </c>
      <c r="C134" s="28" t="inlineStr">
        <is>
          <t>LUL</t>
        </is>
      </c>
      <c r="D134" s="29" t="inlineStr">
        <is>
          <t>Tupi (Lula)</t>
        </is>
      </c>
      <c r="E134" s="30" t="inlineStr">
        <is>
          <t>Opening Volume (MB)</t>
        </is>
      </c>
      <c r="F134" s="28" t="inlineStr">
        <is>
          <t>E</t>
        </is>
      </c>
      <c r="G134" s="31">
        <f>'Crude Inventory (Live Formulas)'!E56</f>
        <v/>
      </c>
      <c r="H134" s="32" t="inlineStr">
        <is>
          <t>Raw Value (cross-ref)</t>
        </is>
      </c>
      <c r="I134" s="33" t="inlineStr">
        <is>
          <t>Raw measured volume sourced directly from AORA Mass Balance System</t>
        </is>
      </c>
    </row>
    <row r="135" ht="22" customHeight="1">
      <c r="A135" s="34" t="inlineStr"/>
      <c r="B135" s="34" t="inlineStr"/>
      <c r="C135" s="34" t="inlineStr"/>
      <c r="D135" s="29" t="inlineStr"/>
      <c r="E135" s="30" t="inlineStr">
        <is>
          <t>Opening % (share)</t>
        </is>
      </c>
      <c r="F135" s="28" t="inlineStr">
        <is>
          <t>F</t>
        </is>
      </c>
      <c r="G135" s="35">
        <f>IF(('Crude Inventory (Live Formulas)'!E54+E55+E56+E57)=0,0,'Crude Inventory (Live Formulas)'!E56/('Crude Inventory (Live Formulas)'!E54+E55+E56+E57))</f>
        <v/>
      </c>
      <c r="H135" s="36" t="inlineStr">
        <is>
          <t>IF / Division</t>
        </is>
      </c>
      <c r="I135" s="33" t="inlineStr">
        <is>
          <t>Crude's share of tank total opening vol. =0 if tank empty.</t>
        </is>
      </c>
    </row>
    <row r="136" ht="22" customHeight="1">
      <c r="A136" s="34" t="inlineStr"/>
      <c r="B136" s="34" t="inlineStr"/>
      <c r="C136" s="34" t="inlineStr"/>
      <c r="D136" s="29" t="inlineStr"/>
      <c r="E136" s="30" t="inlineStr">
        <is>
          <t>Closing Volume (MB)</t>
        </is>
      </c>
      <c r="F136" s="28" t="inlineStr">
        <is>
          <t>G</t>
        </is>
      </c>
      <c r="G136" s="31">
        <f>'Crude Inventory (Live Formulas)'!G56</f>
        <v/>
      </c>
      <c r="H136" s="32" t="inlineStr">
        <is>
          <t>Raw Value (cross-ref)</t>
        </is>
      </c>
      <c r="I136" s="33" t="inlineStr">
        <is>
          <t>Raw measured volume sourced directly from AORA Mass Balance System</t>
        </is>
      </c>
    </row>
    <row r="137" ht="22" customHeight="1">
      <c r="A137" s="34" t="inlineStr"/>
      <c r="B137" s="34" t="inlineStr"/>
      <c r="C137" s="34" t="inlineStr"/>
      <c r="D137" s="29" t="inlineStr"/>
      <c r="E137" s="30" t="inlineStr">
        <is>
          <t>Closing % (share)</t>
        </is>
      </c>
      <c r="F137" s="28" t="inlineStr">
        <is>
          <t>H</t>
        </is>
      </c>
      <c r="G137" s="35">
        <f>IF(('Crude Inventory (Live Formulas)'!G54+G55+G56+G57)=0,0,'Crude Inventory (Live Formulas)'!G56/('Crude Inventory (Live Formulas)'!G54+G55+G56+G57))</f>
        <v/>
      </c>
      <c r="H137" s="36" t="inlineStr">
        <is>
          <t>IF / Division</t>
        </is>
      </c>
      <c r="I137" s="33" t="inlineStr">
        <is>
          <t>Crude's share of tank total closing vol. =0 if tank empty.</t>
        </is>
      </c>
    </row>
    <row r="138" ht="22" customHeight="1">
      <c r="A138" s="28" t="n">
        <v>42</v>
      </c>
      <c r="B138" s="28" t="inlineStr">
        <is>
          <t>TK8</t>
        </is>
      </c>
      <c r="C138" s="28" t="inlineStr">
        <is>
          <t>MED</t>
        </is>
      </c>
      <c r="D138" s="29" t="inlineStr">
        <is>
          <t>Medanito</t>
        </is>
      </c>
      <c r="E138" s="30" t="inlineStr">
        <is>
          <t>Opening Volume (MB)</t>
        </is>
      </c>
      <c r="F138" s="28" t="inlineStr">
        <is>
          <t>E</t>
        </is>
      </c>
      <c r="G138" s="31">
        <f>'Crude Inventory (Live Formulas)'!E57</f>
        <v/>
      </c>
      <c r="H138" s="32" t="inlineStr">
        <is>
          <t>Raw Value (cross-ref)</t>
        </is>
      </c>
      <c r="I138" s="33" t="inlineStr">
        <is>
          <t>Raw measured volume sourced directly from AORA Mass Balance System</t>
        </is>
      </c>
    </row>
    <row r="139" ht="22" customHeight="1">
      <c r="A139" s="34" t="inlineStr"/>
      <c r="B139" s="34" t="inlineStr"/>
      <c r="C139" s="34" t="inlineStr"/>
      <c r="D139" s="29" t="inlineStr"/>
      <c r="E139" s="30" t="inlineStr">
        <is>
          <t>Opening % (share)</t>
        </is>
      </c>
      <c r="F139" s="28" t="inlineStr">
        <is>
          <t>F</t>
        </is>
      </c>
      <c r="G139" s="35">
        <f>IF(('Crude Inventory (Live Formulas)'!E54+E55+E56+E57)=0,0,'Crude Inventory (Live Formulas)'!E57/('Crude Inventory (Live Formulas)'!E54+E55+E56+E57))</f>
        <v/>
      </c>
      <c r="H139" s="36" t="inlineStr">
        <is>
          <t>IF / Division</t>
        </is>
      </c>
      <c r="I139" s="33" t="inlineStr">
        <is>
          <t>Crude's share of tank total opening vol. =0 if tank empty.</t>
        </is>
      </c>
    </row>
    <row r="140" ht="22" customHeight="1">
      <c r="A140" s="34" t="inlineStr"/>
      <c r="B140" s="34" t="inlineStr"/>
      <c r="C140" s="34" t="inlineStr"/>
      <c r="D140" s="29" t="inlineStr"/>
      <c r="E140" s="30" t="inlineStr">
        <is>
          <t>Closing Volume (MB)</t>
        </is>
      </c>
      <c r="F140" s="28" t="inlineStr">
        <is>
          <t>G</t>
        </is>
      </c>
      <c r="G140" s="31">
        <f>'Crude Inventory (Live Formulas)'!G57</f>
        <v/>
      </c>
      <c r="H140" s="32" t="inlineStr">
        <is>
          <t>Raw Value (cross-ref)</t>
        </is>
      </c>
      <c r="I140" s="33" t="inlineStr">
        <is>
          <t>Raw measured volume sourced directly from AORA Mass Balance System</t>
        </is>
      </c>
    </row>
    <row r="141" ht="22" customHeight="1">
      <c r="A141" s="34" t="inlineStr"/>
      <c r="B141" s="34" t="inlineStr"/>
      <c r="C141" s="34" t="inlineStr"/>
      <c r="D141" s="29" t="inlineStr"/>
      <c r="E141" s="30" t="inlineStr">
        <is>
          <t>Closing % (share)</t>
        </is>
      </c>
      <c r="F141" s="28" t="inlineStr">
        <is>
          <t>H</t>
        </is>
      </c>
      <c r="G141" s="35">
        <f>IF(('Crude Inventory (Live Formulas)'!G54+G55+G56+G57)=0,0,'Crude Inventory (Live Formulas)'!G57/('Crude Inventory (Live Formulas)'!G54+G55+G56+G57))</f>
        <v/>
      </c>
      <c r="H141" s="36" t="inlineStr">
        <is>
          <t>IF / Division</t>
        </is>
      </c>
      <c r="I141" s="33" t="inlineStr">
        <is>
          <t>Crude's share of tank total closing vol. =0 if tank empty.</t>
        </is>
      </c>
    </row>
    <row r="142" ht="22" customHeight="1">
      <c r="A142" s="37" t="n">
        <v>43</v>
      </c>
      <c r="B142" s="37" t="inlineStr">
        <is>
          <t>TK8</t>
        </is>
      </c>
      <c r="C142" s="37" t="inlineStr">
        <is>
          <t>TOTAL</t>
        </is>
      </c>
      <c r="D142" s="38" t="inlineStr">
        <is>
          <t>Total for TK8</t>
        </is>
      </c>
      <c r="E142" s="38" t="inlineStr">
        <is>
          <t>Opening Volume Total (MB)</t>
        </is>
      </c>
      <c r="F142" s="37" t="inlineStr">
        <is>
          <t>E</t>
        </is>
      </c>
      <c r="G142" s="39">
        <f>'Crude Inventory (Live Formulas)'!E54+E55+E56+E57</f>
        <v/>
      </c>
      <c r="H142" s="40" t="inlineStr">
        <is>
          <t>SUM</t>
        </is>
      </c>
      <c r="I142" s="41" t="inlineStr">
        <is>
          <t>Sum of all crude volumes in this tank group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16" customWidth="1" min="4" max="4"/>
    <col width="16" customWidth="1" min="5" max="5"/>
    <col width="62" customWidth="1" min="6" max="6"/>
    <col width="44" customWidth="1" min="7" max="7"/>
  </cols>
  <sheetData>
    <row r="1" ht="28" customHeight="1">
      <c r="A1" s="25" t="inlineStr">
        <is>
          <t>FORMULA PATTERN GUIDE  —  Crude Inventory By Tank Report</t>
        </is>
      </c>
    </row>
    <row r="2" ht="28" customHeight="1">
      <c r="A2" s="27" t="inlineStr">
        <is>
          <t>#</t>
        </is>
      </c>
      <c r="B2" s="27" t="inlineStr">
        <is>
          <t>KPI Name</t>
        </is>
      </c>
      <c r="C2" s="27" t="inlineStr">
        <is>
          <t>Column</t>
        </is>
      </c>
      <c r="D2" s="27" t="inlineStr">
        <is>
          <t>Applied To</t>
        </is>
      </c>
      <c r="E2" s="27" t="inlineStr">
        <is>
          <t>Formula Type</t>
        </is>
      </c>
      <c r="F2" s="27" t="inlineStr">
        <is>
          <t>Formula Pattern (as written in Excel)</t>
        </is>
      </c>
      <c r="G2" s="27" t="inlineStr">
        <is>
          <t>What It Means</t>
        </is>
      </c>
    </row>
    <row r="3" ht="24" customHeight="1">
      <c r="A3" s="32" t="n">
        <v>1</v>
      </c>
      <c r="B3" s="44" t="inlineStr">
        <is>
          <t>Opening Volume (MB)</t>
        </is>
      </c>
      <c r="C3" s="32" t="inlineStr">
        <is>
          <t>E</t>
        </is>
      </c>
      <c r="D3" s="45" t="inlineStr">
        <is>
          <t>Crude-level rows</t>
        </is>
      </c>
      <c r="E3" s="32" t="inlineStr">
        <is>
          <t>Raw Value</t>
        </is>
      </c>
      <c r="F3" s="46" t="inlineStr">
        <is>
          <t>Actual measured volume (no formula — sourced from AORA)</t>
        </is>
      </c>
      <c r="G3" s="47" t="inlineStr">
        <is>
          <t>Direct value from AORA Mass Balance System</t>
        </is>
      </c>
    </row>
    <row r="4" ht="24" customHeight="1">
      <c r="A4" s="36" t="n">
        <v>2</v>
      </c>
      <c r="B4" s="48" t="inlineStr">
        <is>
          <t>Opening % (share)</t>
        </is>
      </c>
      <c r="C4" s="36" t="inlineStr">
        <is>
          <t>F</t>
        </is>
      </c>
      <c r="D4" s="49" t="inlineStr">
        <is>
          <t>Crude-level rows</t>
        </is>
      </c>
      <c r="E4" s="36" t="inlineStr">
        <is>
          <t>IF / Division</t>
        </is>
      </c>
      <c r="F4" s="50">
        <f>IF((E[r1]+E[r2]+...+E[rN])=0, 0, E[this_row]/(E[r1]+E[r2]+...+E[rN]))</f>
        <v/>
      </c>
      <c r="G4" s="51" t="inlineStr">
        <is>
          <t>Each crude's % share of tank total opening vol. Guards against divide-by-zero.</t>
        </is>
      </c>
    </row>
    <row r="5" ht="24" customHeight="1">
      <c r="A5" s="40" t="n">
        <v>3</v>
      </c>
      <c r="B5" s="52" t="inlineStr">
        <is>
          <t>Opening Volume — Total</t>
        </is>
      </c>
      <c r="C5" s="40" t="inlineStr">
        <is>
          <t>E</t>
        </is>
      </c>
      <c r="D5" s="53" t="inlineStr">
        <is>
          <t>Tank Total row</t>
        </is>
      </c>
      <c r="E5" s="40" t="inlineStr">
        <is>
          <t>SUM</t>
        </is>
      </c>
      <c r="F5" s="39">
        <f>E[r1]+E[r2]+...+E[rN]   (single crude: =E[r1])</f>
        <v/>
      </c>
      <c r="G5" s="54" t="inlineStr">
        <is>
          <t>Sum of all crude volumes in the tank group</t>
        </is>
      </c>
    </row>
    <row r="6" ht="24" customHeight="1">
      <c r="A6" s="32" t="n">
        <v>4</v>
      </c>
      <c r="B6" s="44" t="inlineStr">
        <is>
          <t>Opening % — Total</t>
        </is>
      </c>
      <c r="C6" s="32" t="inlineStr">
        <is>
          <t>F</t>
        </is>
      </c>
      <c r="D6" s="45" t="inlineStr">
        <is>
          <t>Tank Total row</t>
        </is>
      </c>
      <c r="E6" s="32" t="inlineStr">
        <is>
          <t>Literal 1</t>
        </is>
      </c>
      <c r="F6" s="55" t="inlineStr">
        <is>
          <t>1   (literal constant)</t>
        </is>
      </c>
      <c r="G6" s="47" t="inlineStr">
        <is>
          <t>Always 100% — sum of all crude shares = 1</t>
        </is>
      </c>
    </row>
    <row r="7" ht="24" customHeight="1">
      <c r="A7" s="32" t="n">
        <v>5</v>
      </c>
      <c r="B7" s="44" t="inlineStr">
        <is>
          <t>Closing Volume (MB)</t>
        </is>
      </c>
      <c r="C7" s="32" t="inlineStr">
        <is>
          <t>G</t>
        </is>
      </c>
      <c r="D7" s="45" t="inlineStr">
        <is>
          <t>Crude-level rows</t>
        </is>
      </c>
      <c r="E7" s="32" t="inlineStr">
        <is>
          <t>Raw Value</t>
        </is>
      </c>
      <c r="F7" s="46" t="inlineStr">
        <is>
          <t>Actual measured volume (no formula — sourced from AORA)</t>
        </is>
      </c>
      <c r="G7" s="47" t="inlineStr">
        <is>
          <t>Direct value from AORA Mass Balance System</t>
        </is>
      </c>
    </row>
    <row r="8" ht="24" customHeight="1">
      <c r="A8" s="36" t="n">
        <v>6</v>
      </c>
      <c r="B8" s="48" t="inlineStr">
        <is>
          <t>Closing % (share)</t>
        </is>
      </c>
      <c r="C8" s="36" t="inlineStr">
        <is>
          <t>H</t>
        </is>
      </c>
      <c r="D8" s="49" t="inlineStr">
        <is>
          <t>Crude-level rows</t>
        </is>
      </c>
      <c r="E8" s="36" t="inlineStr">
        <is>
          <t>IF / Division</t>
        </is>
      </c>
      <c r="F8" s="50">
        <f>IF((G[r1]+G[r2]+...+G[rN])=0, 0, G[this_row]/(G[r1]+G[r2]+...+G[rN]))</f>
        <v/>
      </c>
      <c r="G8" s="51" t="inlineStr">
        <is>
          <t>Each crude's % share of tank total closing vol. Guards against divide-by-zero.</t>
        </is>
      </c>
    </row>
    <row r="9" ht="24" customHeight="1">
      <c r="A9" s="40" t="n">
        <v>7</v>
      </c>
      <c r="B9" s="52" t="inlineStr">
        <is>
          <t>Closing Volume — Total</t>
        </is>
      </c>
      <c r="C9" s="40" t="inlineStr">
        <is>
          <t>G</t>
        </is>
      </c>
      <c r="D9" s="53" t="inlineStr">
        <is>
          <t>Tank Total row</t>
        </is>
      </c>
      <c r="E9" s="40" t="inlineStr">
        <is>
          <t>SUM</t>
        </is>
      </c>
      <c r="F9" s="39">
        <f>G[r1]+G[r2]+...+G[rN]   (single crude: =G[r1])</f>
        <v/>
      </c>
      <c r="G9" s="54" t="inlineStr">
        <is>
          <t>Sum of all crude volumes in the tank group</t>
        </is>
      </c>
    </row>
    <row r="10" ht="24" customHeight="1">
      <c r="A10" s="32" t="n">
        <v>8</v>
      </c>
      <c r="B10" s="44" t="inlineStr">
        <is>
          <t>Closing % — Total</t>
        </is>
      </c>
      <c r="C10" s="32" t="inlineStr">
        <is>
          <t>H</t>
        </is>
      </c>
      <c r="D10" s="45" t="inlineStr">
        <is>
          <t>Tank Total row</t>
        </is>
      </c>
      <c r="E10" s="32" t="inlineStr">
        <is>
          <t>Literal 1</t>
        </is>
      </c>
      <c r="F10" s="55" t="inlineStr">
        <is>
          <t>1   (literal constant)</t>
        </is>
      </c>
      <c r="G10" s="47" t="inlineStr">
        <is>
          <t>Always 100% — sum of all crude shares = 1</t>
        </is>
      </c>
    </row>
    <row r="11" ht="24" customHeight="1">
      <c r="A11" s="56" t="n">
        <v>9</v>
      </c>
      <c r="B11" s="57" t="inlineStr">
        <is>
          <t>Grand Total — Opening Vol</t>
        </is>
      </c>
      <c r="C11" s="56" t="inlineStr">
        <is>
          <t>E</t>
        </is>
      </c>
      <c r="D11" s="58" t="inlineStr">
        <is>
          <t>Grand Total row</t>
        </is>
      </c>
      <c r="E11" s="56" t="inlineStr">
        <is>
          <t>SUM (all tanks)</t>
        </is>
      </c>
      <c r="F11" s="59">
        <f>E[crude1]+E[crude2]+...+E[crude_all]</f>
        <v/>
      </c>
      <c r="G11" s="60" t="inlineStr">
        <is>
          <t>Sum of ALL individual crude rows across ALL tanks</t>
        </is>
      </c>
    </row>
    <row r="12" ht="24" customHeight="1">
      <c r="A12" s="56" t="n">
        <v>10</v>
      </c>
      <c r="B12" s="57" t="inlineStr">
        <is>
          <t>Grand Total — Closing Vol</t>
        </is>
      </c>
      <c r="C12" s="56" t="inlineStr">
        <is>
          <t>G</t>
        </is>
      </c>
      <c r="D12" s="58" t="inlineStr">
        <is>
          <t>Grand Total row</t>
        </is>
      </c>
      <c r="E12" s="56" t="inlineStr">
        <is>
          <t>SUM (all tanks)</t>
        </is>
      </c>
      <c r="F12" s="59">
        <f>G[crude1]+G[crude2]+...+G[crude_all]</f>
        <v/>
      </c>
      <c r="G12" s="60" t="inlineStr">
        <is>
          <t>Sum of ALL individual crude rows across ALL tanks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2026-05-28T10:32:19Z</dcterms:created>
  <dcterms:modified xsi:type="dcterms:W3CDTF">2026-05-28T10:32:19Z</dcterms:modified>
</cp:coreProperties>
</file>