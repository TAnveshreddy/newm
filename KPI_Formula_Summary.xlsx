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Overview" sheetId="1" state="visible" r:id="rId1"/>
    <sheet name="Table-KPI-Formula Mapping" sheetId="2" state="visible" r:id="rId2"/>
    <sheet name="Formula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11"/>
    </font>
    <font>
      <b val="1"/>
      <sz val="10"/>
    </font>
    <font>
      <sz val="10"/>
    </font>
    <font>
      <b val="1"/>
      <color rgb="00FFFFFF"/>
      <sz val="12"/>
    </font>
    <font>
      <b val="1"/>
      <color rgb="00FFFFFF"/>
      <sz val="11"/>
    </font>
    <font>
      <b val="1"/>
      <color rgb="00FFFFFF"/>
      <sz val="14"/>
    </font>
    <font>
      <i val="1"/>
      <color rgb="00333333"/>
      <sz val="9"/>
    </font>
    <font>
      <b val="1"/>
      <color rgb="00FFFFFF"/>
      <sz val="9"/>
    </font>
    <font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5C99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8" customWidth="1" min="3" max="3"/>
    <col width="14" customWidth="1" min="4" max="4"/>
    <col width="38" customWidth="1" min="5" max="5"/>
    <col width="14" customWidth="1" min="6" max="6"/>
    <col width="32" customWidth="1" min="7" max="7"/>
  </cols>
  <sheetData>
    <row r="1" ht="36" customHeight="1">
      <c r="A1" s="1" t="inlineStr">
        <is>
          <t>CARSON DAILY INVENTORY REPORT — KPI &amp; Formula Reference</t>
        </is>
      </c>
    </row>
    <row r="2" ht="22" customHeight="1">
      <c r="A2" s="2" t="inlineStr">
        <is>
          <t>MPC Carson Refinery  |  AORA Mass Balance System  |  Unit of Measure: Barrels</t>
        </is>
      </c>
    </row>
    <row r="3" ht="6" customHeight="1"/>
    <row r="4" ht="20" customHeight="1">
      <c r="A4" s="3" t="inlineStr">
        <is>
          <t>Recon Date:</t>
        </is>
      </c>
      <c r="B4" s="4" t="n"/>
      <c r="C4" s="5" t="n"/>
      <c r="D4" s="6" t="inlineStr">
        <is>
          <t>2026-01-01</t>
        </is>
      </c>
      <c r="E4" s="4" t="n"/>
      <c r="F4" s="4" t="n"/>
      <c r="G4" s="4" t="n"/>
      <c r="H4" s="5" t="n"/>
    </row>
    <row r="5" ht="20" customHeight="1">
      <c r="A5" s="3" t="inlineStr">
        <is>
          <t>Recon Status:</t>
        </is>
      </c>
      <c r="B5" s="4" t="n"/>
      <c r="C5" s="5" t="n"/>
      <c r="D5" s="6" t="inlineStr">
        <is>
          <t>Intermediate</t>
        </is>
      </c>
      <c r="E5" s="4" t="n"/>
      <c r="F5" s="4" t="n"/>
      <c r="G5" s="4" t="n"/>
      <c r="H5" s="5" t="n"/>
    </row>
    <row r="6" ht="20" customHeight="1">
      <c r="A6" s="3" t="inlineStr">
        <is>
          <t>Source Sheet:</t>
        </is>
      </c>
      <c r="B6" s="4" t="n"/>
      <c r="C6" s="5" t="n"/>
      <c r="D6" s="6" t="inlineStr">
        <is>
          <t>Daily Inventory</t>
        </is>
      </c>
      <c r="E6" s="4" t="n"/>
      <c r="F6" s="4" t="n"/>
      <c r="G6" s="4" t="n"/>
      <c r="H6" s="5" t="n"/>
    </row>
    <row r="7" ht="20" customHeight="1">
      <c r="A7" s="3" t="inlineStr">
        <is>
          <t>Total Product Groups:</t>
        </is>
      </c>
      <c r="B7" s="4" t="n"/>
      <c r="C7" s="5" t="n"/>
      <c r="D7" s="6" t="inlineStr">
        <is>
          <t>45</t>
        </is>
      </c>
      <c r="E7" s="4" t="n"/>
      <c r="F7" s="4" t="n"/>
      <c r="G7" s="4" t="n"/>
      <c r="H7" s="5" t="n"/>
    </row>
    <row r="8" ht="20" customHeight="1">
      <c r="A8" s="3" t="inlineStr">
        <is>
          <t>Total Tanks / Line Fills:</t>
        </is>
      </c>
      <c r="B8" s="4" t="n"/>
      <c r="C8" s="5" t="n"/>
      <c r="D8" s="6" t="inlineStr">
        <is>
          <t>100+</t>
        </is>
      </c>
      <c r="E8" s="4" t="n"/>
      <c r="F8" s="4" t="n"/>
      <c r="G8" s="4" t="n"/>
      <c r="H8" s="5" t="n"/>
    </row>
    <row r="9" ht="12" customHeight="1"/>
    <row r="10" ht="26" customHeight="1">
      <c r="A10" s="7" t="inlineStr">
        <is>
          <t>KPI SUMMARY — Formula Types Used</t>
        </is>
      </c>
    </row>
    <row r="11" ht="22" customHeight="1">
      <c r="A11" s="8" t="inlineStr">
        <is>
          <t>#</t>
        </is>
      </c>
      <c r="B11" s="8" t="inlineStr">
        <is>
          <t>KPI Name</t>
        </is>
      </c>
      <c r="C11" s="8" t="inlineStr">
        <is>
          <t>Column</t>
        </is>
      </c>
      <c r="D11" s="8" t="inlineStr">
        <is>
          <t>Formula Type</t>
        </is>
      </c>
      <c r="E11" s="8" t="inlineStr">
        <is>
          <t>Formula Pattern</t>
        </is>
      </c>
      <c r="F11" s="8" t="inlineStr">
        <is>
          <t>Aggregation</t>
        </is>
      </c>
      <c r="G11" s="8" t="inlineStr">
        <is>
          <t>Notes</t>
        </is>
      </c>
    </row>
    <row r="12" ht="20" customHeight="1">
      <c r="A12" s="9" t="n">
        <v>1</v>
      </c>
      <c r="B12" s="10" t="inlineStr">
        <is>
          <t>Opening Net Volume (BBLs)</t>
        </is>
      </c>
      <c r="C12" s="9" t="inlineStr">
        <is>
          <t>E</t>
        </is>
      </c>
      <c r="D12" s="9" t="inlineStr">
        <is>
          <t>SUM</t>
        </is>
      </c>
      <c r="E12" s="10">
        <f>E[t1]+E[t2]+...+E[tn]</f>
        <v/>
      </c>
      <c r="F12" s="9" t="inlineStr">
        <is>
          <t>Sum</t>
        </is>
      </c>
      <c r="G12" s="10" t="inlineStr">
        <is>
          <t>Total opening inventory per product group</t>
        </is>
      </c>
    </row>
    <row r="13" ht="20" customHeight="1">
      <c r="A13" s="11" t="n">
        <v>2</v>
      </c>
      <c r="B13" s="12" t="inlineStr">
        <is>
          <t>Opening Gravity</t>
        </is>
      </c>
      <c r="C13" s="11" t="inlineStr">
        <is>
          <t>F</t>
        </is>
      </c>
      <c r="D13" s="11" t="inlineStr">
        <is>
          <t>AVERAGE</t>
        </is>
      </c>
      <c r="E13" s="12">
        <f>AVERAGE(F[t1],F[t2],...,F[tn])</f>
        <v/>
      </c>
      <c r="F13" s="11" t="inlineStr">
        <is>
          <t>Mean</t>
        </is>
      </c>
      <c r="G13" s="12" t="inlineStr">
        <is>
          <t>Average API gravity at opening</t>
        </is>
      </c>
    </row>
    <row r="14" ht="20" customHeight="1">
      <c r="A14" s="9" t="n">
        <v>3</v>
      </c>
      <c r="B14" s="10" t="inlineStr">
        <is>
          <t>Closing Net Volume (BBLs)</t>
        </is>
      </c>
      <c r="C14" s="9" t="inlineStr">
        <is>
          <t>G</t>
        </is>
      </c>
      <c r="D14" s="9" t="inlineStr">
        <is>
          <t>SUM</t>
        </is>
      </c>
      <c r="E14" s="10">
        <f>G[t1]+G[t2]+...+G[tn]</f>
        <v/>
      </c>
      <c r="F14" s="9" t="inlineStr">
        <is>
          <t>Sum</t>
        </is>
      </c>
      <c r="G14" s="10" t="inlineStr">
        <is>
          <t>Total closing inventory per product group</t>
        </is>
      </c>
    </row>
    <row r="15" ht="20" customHeight="1">
      <c r="A15" s="9" t="n">
        <v>4</v>
      </c>
      <c r="B15" s="10" t="inlineStr">
        <is>
          <t>Closing Gross Volume (BBLs)</t>
        </is>
      </c>
      <c r="C15" s="9" t="inlineStr">
        <is>
          <t>H</t>
        </is>
      </c>
      <c r="D15" s="9" t="inlineStr">
        <is>
          <t>SUM</t>
        </is>
      </c>
      <c r="E15" s="10">
        <f>H[t1]+H[t2]+...+H[tn]</f>
        <v/>
      </c>
      <c r="F15" s="9" t="inlineStr">
        <is>
          <t>Sum</t>
        </is>
      </c>
      <c r="G15" s="10" t="inlineStr">
        <is>
          <t>Gross volume including water &amp; sediment</t>
        </is>
      </c>
    </row>
    <row r="16" ht="20" customHeight="1">
      <c r="A16" s="13" t="n">
        <v>5</v>
      </c>
      <c r="B16" s="14" t="inlineStr">
        <is>
          <t>Level Feet</t>
        </is>
      </c>
      <c r="C16" s="13" t="inlineStr">
        <is>
          <t>I</t>
        </is>
      </c>
      <c r="D16" s="13" t="inlineStr">
        <is>
          <t>Raw Data</t>
        </is>
      </c>
      <c r="E16" s="14" t="inlineStr">
        <is>
          <t>N/A — No aggregation</t>
        </is>
      </c>
      <c r="F16" s="13" t="inlineStr">
        <is>
          <t>None</t>
        </is>
      </c>
      <c r="G16" s="14" t="inlineStr">
        <is>
          <t>Individual tank gauge reading only</t>
        </is>
      </c>
    </row>
    <row r="17" ht="20" customHeight="1">
      <c r="A17" s="11" t="n">
        <v>6</v>
      </c>
      <c r="B17" s="12" t="inlineStr">
        <is>
          <t>Gravity (Closing)</t>
        </is>
      </c>
      <c r="C17" s="11" t="inlineStr">
        <is>
          <t>J</t>
        </is>
      </c>
      <c r="D17" s="11" t="inlineStr">
        <is>
          <t>AVERAGE</t>
        </is>
      </c>
      <c r="E17" s="12">
        <f>AVERAGE(J[t1],J[t2],...,J[tn])</f>
        <v/>
      </c>
      <c r="F17" s="11" t="inlineStr">
        <is>
          <t>Mean</t>
        </is>
      </c>
      <c r="G17" s="12" t="inlineStr">
        <is>
          <t>Average closing API gravity</t>
        </is>
      </c>
    </row>
    <row r="18" ht="20" customHeight="1">
      <c r="A18" s="13" t="n">
        <v>7</v>
      </c>
      <c r="B18" s="14" t="inlineStr">
        <is>
          <t>Temperature</t>
        </is>
      </c>
      <c r="C18" s="13" t="inlineStr">
        <is>
          <t>K</t>
        </is>
      </c>
      <c r="D18" s="13" t="inlineStr">
        <is>
          <t>Raw Data</t>
        </is>
      </c>
      <c r="E18" s="14" t="inlineStr">
        <is>
          <t>N/A — No aggregation</t>
        </is>
      </c>
      <c r="F18" s="13" t="inlineStr">
        <is>
          <t>None</t>
        </is>
      </c>
      <c r="G18" s="14" t="inlineStr">
        <is>
          <t>Individual tank temperature reading only</t>
        </is>
      </c>
    </row>
    <row r="19" ht="20" customHeight="1">
      <c r="A19" s="9" t="n">
        <v>8</v>
      </c>
      <c r="B19" s="10" t="inlineStr">
        <is>
          <t>Total Water</t>
        </is>
      </c>
      <c r="C19" s="9" t="inlineStr">
        <is>
          <t>L</t>
        </is>
      </c>
      <c r="D19" s="9" t="inlineStr">
        <is>
          <t>SUM</t>
        </is>
      </c>
      <c r="E19" s="10">
        <f>L[t1]+L[t2]+...+L[tn]</f>
        <v/>
      </c>
      <c r="F19" s="9" t="inlineStr">
        <is>
          <t>Sum</t>
        </is>
      </c>
      <c r="G19" s="10" t="inlineStr">
        <is>
          <t>Total water content across all tanks</t>
        </is>
      </c>
    </row>
    <row r="20" ht="20" customHeight="1">
      <c r="A20" s="13" t="n">
        <v>9</v>
      </c>
      <c r="B20" s="14" t="inlineStr">
        <is>
          <t>BSW Feet</t>
        </is>
      </c>
      <c r="C20" s="13" t="inlineStr">
        <is>
          <t>M</t>
        </is>
      </c>
      <c r="D20" s="13" t="inlineStr">
        <is>
          <t>Raw Data</t>
        </is>
      </c>
      <c r="E20" s="14" t="inlineStr">
        <is>
          <t>N/A — No aggregation</t>
        </is>
      </c>
      <c r="F20" s="13" t="inlineStr">
        <is>
          <t>None</t>
        </is>
      </c>
      <c r="G20" s="14" t="inlineStr">
        <is>
          <t>Basic sediment &amp; water level per tank</t>
        </is>
      </c>
    </row>
    <row r="21" ht="20" customHeight="1">
      <c r="A21" s="9" t="n">
        <v>10</v>
      </c>
      <c r="B21" s="10" t="inlineStr">
        <is>
          <t>Volume of Available Product</t>
        </is>
      </c>
      <c r="C21" s="9" t="inlineStr">
        <is>
          <t>N</t>
        </is>
      </c>
      <c r="D21" s="9" t="inlineStr">
        <is>
          <t>SUM</t>
        </is>
      </c>
      <c r="E21" s="10">
        <f>N[t1]+N[t2]+...+N[tn]</f>
        <v/>
      </c>
      <c r="F21" s="9" t="inlineStr">
        <is>
          <t>Sum</t>
        </is>
      </c>
      <c r="G21" s="10" t="inlineStr">
        <is>
          <t>Usable product = Closing Net Vol - Water</t>
        </is>
      </c>
    </row>
    <row r="22" ht="20" customHeight="1">
      <c r="A22" s="9" t="n">
        <v>11</v>
      </c>
      <c r="B22" s="10" t="inlineStr">
        <is>
          <t>Remaining Capacity</t>
        </is>
      </c>
      <c r="C22" s="9" t="inlineStr">
        <is>
          <t>O</t>
        </is>
      </c>
      <c r="D22" s="9" t="inlineStr">
        <is>
          <t>SUM</t>
        </is>
      </c>
      <c r="E22" s="10">
        <f>O[t1]+O[t2]+...+O[tn]</f>
        <v/>
      </c>
      <c r="F22" s="9" t="inlineStr">
        <is>
          <t>Sum</t>
        </is>
      </c>
      <c r="G22" s="10" t="inlineStr">
        <is>
          <t>Unused tank space per product group</t>
        </is>
      </c>
    </row>
    <row r="23" ht="20" customHeight="1">
      <c r="A23" s="9" t="n">
        <v>12</v>
      </c>
      <c r="B23" s="10" t="inlineStr">
        <is>
          <t>Inventory Change Net Volume (BBLs)</t>
        </is>
      </c>
      <c r="C23" s="9" t="inlineStr">
        <is>
          <t>P</t>
        </is>
      </c>
      <c r="D23" s="9" t="inlineStr">
        <is>
          <t>SUM</t>
        </is>
      </c>
      <c r="E23" s="10">
        <f>P[t1]+P[t2]+...+P[tn]</f>
        <v/>
      </c>
      <c r="F23" s="9" t="inlineStr">
        <is>
          <t>Sum</t>
        </is>
      </c>
      <c r="G23" s="10" t="inlineStr">
        <is>
          <t>Closing - Opening volume (net change)</t>
        </is>
      </c>
    </row>
  </sheetData>
  <mergeCells count="13">
    <mergeCell ref="D7:H7"/>
    <mergeCell ref="D8:H8"/>
    <mergeCell ref="D6:H6"/>
    <mergeCell ref="A5:C5"/>
    <mergeCell ref="A2:H2"/>
    <mergeCell ref="A8:C8"/>
    <mergeCell ref="A6:C6"/>
    <mergeCell ref="A10:H10"/>
    <mergeCell ref="D5:H5"/>
    <mergeCell ref="A7:C7"/>
    <mergeCell ref="A1:H1"/>
    <mergeCell ref="D4:H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48" customWidth="1" min="4" max="4"/>
    <col width="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4" customWidth="1" min="12" max="12"/>
    <col width="14" customWidth="1" min="13" max="13"/>
    <col width="14" customWidth="1" min="14" max="14"/>
  </cols>
  <sheetData>
    <row r="1" ht="32" customHeight="1">
      <c r="A1" s="15" t="inlineStr">
        <is>
          <t>TABLE — KPI — FORMULA MAPPING  |  Carson Daily Inventory Report</t>
        </is>
      </c>
    </row>
    <row r="2" ht="18" customHeight="1">
      <c r="A2" s="16" t="inlineStr">
        <is>
          <t>Formula Key:  GREEN = SUM (sum of all tanks)   |   YELLOW = AVERAGE (avg across tanks)   |   ORANGE = Raw Data (no aggregation, tank-level only)</t>
        </is>
      </c>
    </row>
    <row r="3" ht="52" customHeight="1">
      <c r="A3" s="17" t="inlineStr">
        <is>
          <t>No.</t>
        </is>
      </c>
      <c r="B3" s="17" t="inlineStr">
        <is>
          <t>SAP Code (Table Name)</t>
        </is>
      </c>
      <c r="C3" s="17" t="inlineStr">
        <is>
          <t>Full Product Name</t>
        </is>
      </c>
      <c r="D3" s="17" t="inlineStr">
        <is>
          <t>Tanks Included</t>
        </is>
      </c>
      <c r="E3" s="17" t="inlineStr">
        <is>
          <t># Tanks</t>
        </is>
      </c>
      <c r="F3" s="17" t="inlineStr">
        <is>
          <t>Opening
Net Vol (E)
SUM</t>
        </is>
      </c>
      <c r="G3" s="17" t="inlineStr">
        <is>
          <t>Opening
Gravity (F)
AVERAGE</t>
        </is>
      </c>
      <c r="H3" s="17" t="inlineStr">
        <is>
          <t>Closing
Net Vol (G)
SUM</t>
        </is>
      </c>
      <c r="I3" s="17" t="inlineStr">
        <is>
          <t>Closing
Gross Vol (H)
SUM</t>
        </is>
      </c>
      <c r="J3" s="17" t="inlineStr">
        <is>
          <t>Gravity
Closing (J)
AVERAGE</t>
        </is>
      </c>
      <c r="K3" s="17" t="inlineStr">
        <is>
          <t>Total
Water (L)
SUM</t>
        </is>
      </c>
      <c r="L3" s="17" t="inlineStr">
        <is>
          <t>Vol of Avail
Product (N)
SUM</t>
        </is>
      </c>
      <c r="M3" s="17" t="inlineStr">
        <is>
          <t>Remaining
Capacity (O)
SUM</t>
        </is>
      </c>
      <c r="N3" s="17" t="inlineStr">
        <is>
          <t>Inv Change
Net Vol (P)
SUM</t>
        </is>
      </c>
    </row>
    <row r="4" ht="30" customHeight="1">
      <c r="A4" s="18" t="n">
        <v>1</v>
      </c>
      <c r="B4" s="19" t="inlineStr">
        <is>
          <t>Acc_84Blendgrade</t>
        </is>
      </c>
      <c r="C4" s="20" t="inlineStr">
        <is>
          <t>84 Blendgrade</t>
        </is>
      </c>
      <c r="D4" s="21" t="inlineStr">
        <is>
          <t>LF_001, TK51</t>
        </is>
      </c>
      <c r="E4" s="18" t="n">
        <v>2</v>
      </c>
      <c r="F4" s="22" t="inlineStr">
        <is>
          <t>SUM</t>
        </is>
      </c>
      <c r="G4" s="23" t="inlineStr">
        <is>
          <t>AVERAGE</t>
        </is>
      </c>
      <c r="H4" s="22" t="inlineStr">
        <is>
          <t>SUM</t>
        </is>
      </c>
      <c r="I4" s="22" t="inlineStr">
        <is>
          <t>SUM</t>
        </is>
      </c>
      <c r="J4" s="23" t="inlineStr">
        <is>
          <t>AVERAGE</t>
        </is>
      </c>
      <c r="K4" s="22" t="inlineStr">
        <is>
          <t>SUM</t>
        </is>
      </c>
      <c r="L4" s="22" t="inlineStr">
        <is>
          <t>SUM</t>
        </is>
      </c>
      <c r="M4" s="22" t="inlineStr">
        <is>
          <t>SUM</t>
        </is>
      </c>
      <c r="N4" s="22" t="inlineStr">
        <is>
          <t>SUM</t>
        </is>
      </c>
    </row>
    <row r="5" ht="30" customHeight="1">
      <c r="A5" s="24" t="n">
        <v>2</v>
      </c>
      <c r="B5" s="25" t="inlineStr">
        <is>
          <t>Acc_84RegSuboctane</t>
        </is>
      </c>
      <c r="C5" s="26" t="inlineStr">
        <is>
          <t>84 Regular Suboctane CBG AZ</t>
        </is>
      </c>
      <c r="D5" s="27" t="inlineStr">
        <is>
          <t>TK53</t>
        </is>
      </c>
      <c r="E5" s="24" t="n">
        <v>1</v>
      </c>
      <c r="F5" s="22" t="inlineStr">
        <is>
          <t>SUM</t>
        </is>
      </c>
      <c r="G5" s="23" t="inlineStr">
        <is>
          <t>AVERAGE</t>
        </is>
      </c>
      <c r="H5" s="22" t="inlineStr">
        <is>
          <t>SUM</t>
        </is>
      </c>
      <c r="I5" s="22" t="inlineStr">
        <is>
          <t>SUM</t>
        </is>
      </c>
      <c r="J5" s="23" t="inlineStr">
        <is>
          <t>AVERAGE</t>
        </is>
      </c>
      <c r="K5" s="22" t="inlineStr">
        <is>
          <t>SUM</t>
        </is>
      </c>
      <c r="L5" s="22" t="inlineStr">
        <is>
          <t>SUM</t>
        </is>
      </c>
      <c r="M5" s="22" t="inlineStr">
        <is>
          <t>SUM</t>
        </is>
      </c>
      <c r="N5" s="22" t="inlineStr">
        <is>
          <t>SUM</t>
        </is>
      </c>
    </row>
    <row r="6" ht="30" customHeight="1">
      <c r="A6" s="18" t="n">
        <v>3</v>
      </c>
      <c r="B6" s="19" t="inlineStr">
        <is>
          <t>Acc_84RegularCARBOB</t>
        </is>
      </c>
      <c r="C6" s="20" t="inlineStr">
        <is>
          <t>84 Regular CARBOB</t>
        </is>
      </c>
      <c r="D6" s="21" t="inlineStr">
        <is>
          <t>TK41, TK50, TK54, TK55, TK65</t>
        </is>
      </c>
      <c r="E6" s="18" t="n">
        <v>5</v>
      </c>
      <c r="F6" s="22" t="inlineStr">
        <is>
          <t>SUM</t>
        </is>
      </c>
      <c r="G6" s="23" t="inlineStr">
        <is>
          <t>AVERAGE</t>
        </is>
      </c>
      <c r="H6" s="22" t="inlineStr">
        <is>
          <t>SUM</t>
        </is>
      </c>
      <c r="I6" s="22" t="inlineStr">
        <is>
          <t>SUM</t>
        </is>
      </c>
      <c r="J6" s="23" t="inlineStr">
        <is>
          <t>AVERAGE</t>
        </is>
      </c>
      <c r="K6" s="22" t="inlineStr">
        <is>
          <t>SUM</t>
        </is>
      </c>
      <c r="L6" s="22" t="inlineStr">
        <is>
          <t>SUM</t>
        </is>
      </c>
      <c r="M6" s="22" t="inlineStr">
        <is>
          <t>SUM</t>
        </is>
      </c>
      <c r="N6" s="22" t="inlineStr">
        <is>
          <t>SUM</t>
        </is>
      </c>
    </row>
    <row r="7" ht="30" customHeight="1">
      <c r="A7" s="24" t="n">
        <v>4</v>
      </c>
      <c r="B7" s="25" t="inlineStr">
        <is>
          <t>Acc_89PremiumCARB</t>
        </is>
      </c>
      <c r="C7" s="26" t="inlineStr">
        <is>
          <t>89 Premium CARBOB</t>
        </is>
      </c>
      <c r="D7" s="27" t="inlineStr">
        <is>
          <t>TK45, TK52</t>
        </is>
      </c>
      <c r="E7" s="24" t="n">
        <v>2</v>
      </c>
      <c r="F7" s="22" t="inlineStr">
        <is>
          <t>SUM</t>
        </is>
      </c>
      <c r="G7" s="23" t="inlineStr">
        <is>
          <t>AVERAGE</t>
        </is>
      </c>
      <c r="H7" s="22" t="inlineStr">
        <is>
          <t>SUM</t>
        </is>
      </c>
      <c r="I7" s="22" t="inlineStr">
        <is>
          <t>SUM</t>
        </is>
      </c>
      <c r="J7" s="23" t="inlineStr">
        <is>
          <t>AVERAGE</t>
        </is>
      </c>
      <c r="K7" s="22" t="inlineStr">
        <is>
          <t>SUM</t>
        </is>
      </c>
      <c r="L7" s="22" t="inlineStr">
        <is>
          <t>SUM</t>
        </is>
      </c>
      <c r="M7" s="22" t="inlineStr">
        <is>
          <t>SUM</t>
        </is>
      </c>
      <c r="N7" s="22" t="inlineStr">
        <is>
          <t>SUM</t>
        </is>
      </c>
    </row>
    <row r="8" ht="30" customHeight="1">
      <c r="A8" s="18" t="n">
        <v>5</v>
      </c>
      <c r="B8" s="19" t="inlineStr">
        <is>
          <t>Acc_AlkyFeed</t>
        </is>
      </c>
      <c r="C8" s="20" t="inlineStr">
        <is>
          <t>Alky Feed</t>
        </is>
      </c>
      <c r="D8" s="21" t="inlineStr">
        <is>
          <t>TK682, TK76, TK78</t>
        </is>
      </c>
      <c r="E8" s="18" t="n">
        <v>3</v>
      </c>
      <c r="F8" s="22" t="inlineStr">
        <is>
          <t>SUM</t>
        </is>
      </c>
      <c r="G8" s="23" t="inlineStr">
        <is>
          <t>AVERAGE</t>
        </is>
      </c>
      <c r="H8" s="22" t="inlineStr">
        <is>
          <t>SUM</t>
        </is>
      </c>
      <c r="I8" s="22" t="inlineStr">
        <is>
          <t>SUM</t>
        </is>
      </c>
      <c r="J8" s="23" t="inlineStr">
        <is>
          <t>AVERAGE</t>
        </is>
      </c>
      <c r="K8" s="22" t="inlineStr">
        <is>
          <t>SUM</t>
        </is>
      </c>
      <c r="L8" s="22" t="inlineStr">
        <is>
          <t>SUM</t>
        </is>
      </c>
      <c r="M8" s="22" t="inlineStr">
        <is>
          <t>SUM</t>
        </is>
      </c>
      <c r="N8" s="22" t="inlineStr">
        <is>
          <t>SUM</t>
        </is>
      </c>
    </row>
    <row r="9" ht="30" customHeight="1">
      <c r="A9" s="24" t="n">
        <v>6</v>
      </c>
      <c r="B9" s="25" t="inlineStr">
        <is>
          <t>Acc_Alkylate</t>
        </is>
      </c>
      <c r="C9" s="26" t="inlineStr">
        <is>
          <t>Alkylate</t>
        </is>
      </c>
      <c r="D9" s="27" t="inlineStr">
        <is>
          <t>LF_005, TK31, TK43, TK64</t>
        </is>
      </c>
      <c r="E9" s="24" t="n">
        <v>4</v>
      </c>
      <c r="F9" s="22" t="inlineStr">
        <is>
          <t>SUM</t>
        </is>
      </c>
      <c r="G9" s="23" t="inlineStr">
        <is>
          <t>AVERAGE</t>
        </is>
      </c>
      <c r="H9" s="22" t="inlineStr">
        <is>
          <t>SUM</t>
        </is>
      </c>
      <c r="I9" s="22" t="inlineStr">
        <is>
          <t>SUM</t>
        </is>
      </c>
      <c r="J9" s="23" t="inlineStr">
        <is>
          <t>AVERAGE</t>
        </is>
      </c>
      <c r="K9" s="22" t="inlineStr">
        <is>
          <t>SUM</t>
        </is>
      </c>
      <c r="L9" s="22" t="inlineStr">
        <is>
          <t>SUM</t>
        </is>
      </c>
      <c r="M9" s="22" t="inlineStr">
        <is>
          <t>SUM</t>
        </is>
      </c>
      <c r="N9" s="22" t="inlineStr">
        <is>
          <t>SUM</t>
        </is>
      </c>
    </row>
    <row r="10" ht="30" customHeight="1">
      <c r="A10" s="18" t="n">
        <v>7</v>
      </c>
      <c r="B10" s="19" t="inlineStr">
        <is>
          <t>Acc_ChemPropylene</t>
        </is>
      </c>
      <c r="C10" s="20" t="inlineStr">
        <is>
          <t>Chemical Grade Propylene</t>
        </is>
      </c>
      <c r="D10" s="21" t="inlineStr">
        <is>
          <t>TK398, TK399</t>
        </is>
      </c>
      <c r="E10" s="18" t="n">
        <v>2</v>
      </c>
      <c r="F10" s="22" t="inlineStr">
        <is>
          <t>SUM</t>
        </is>
      </c>
      <c r="G10" s="23" t="inlineStr">
        <is>
          <t>AVERAGE</t>
        </is>
      </c>
      <c r="H10" s="22" t="inlineStr">
        <is>
          <t>SUM</t>
        </is>
      </c>
      <c r="I10" s="22" t="inlineStr">
        <is>
          <t>SUM</t>
        </is>
      </c>
      <c r="J10" s="23" t="inlineStr">
        <is>
          <t>AVERAGE</t>
        </is>
      </c>
      <c r="K10" s="22" t="inlineStr">
        <is>
          <t>SUM</t>
        </is>
      </c>
      <c r="L10" s="22" t="inlineStr">
        <is>
          <t>SUM</t>
        </is>
      </c>
      <c r="M10" s="22" t="inlineStr">
        <is>
          <t>SUM</t>
        </is>
      </c>
      <c r="N10" s="22" t="inlineStr">
        <is>
          <t>SUM</t>
        </is>
      </c>
    </row>
    <row r="11" ht="30" customHeight="1">
      <c r="A11" s="24" t="n">
        <v>8</v>
      </c>
      <c r="B11" s="25" t="inlineStr">
        <is>
          <t>Acc_Crude</t>
        </is>
      </c>
      <c r="C11" s="26" t="inlineStr">
        <is>
          <t>Crude Mix</t>
        </is>
      </c>
      <c r="D11" s="27" t="inlineStr">
        <is>
          <t>LF_004, TK13, TK16, TK17, TK18, TK2, TK3, TK5, TK6, TK8</t>
        </is>
      </c>
      <c r="E11" s="24" t="n">
        <v>10</v>
      </c>
      <c r="F11" s="22" t="inlineStr">
        <is>
          <t>SUM</t>
        </is>
      </c>
      <c r="G11" s="23" t="inlineStr">
        <is>
          <t>AVERAGE</t>
        </is>
      </c>
      <c r="H11" s="22" t="inlineStr">
        <is>
          <t>SUM</t>
        </is>
      </c>
      <c r="I11" s="22" t="inlineStr">
        <is>
          <t>SUM</t>
        </is>
      </c>
      <c r="J11" s="23" t="inlineStr">
        <is>
          <t>AVERAGE</t>
        </is>
      </c>
      <c r="K11" s="22" t="inlineStr">
        <is>
          <t>SUM</t>
        </is>
      </c>
      <c r="L11" s="22" t="inlineStr">
        <is>
          <t>SUM</t>
        </is>
      </c>
      <c r="M11" s="22" t="inlineStr">
        <is>
          <t>SUM</t>
        </is>
      </c>
      <c r="N11" s="22" t="inlineStr">
        <is>
          <t>SUM</t>
        </is>
      </c>
    </row>
    <row r="12" ht="30" customHeight="1">
      <c r="A12" s="18" t="n">
        <v>9</v>
      </c>
      <c r="B12" s="19" t="inlineStr">
        <is>
          <t>Acc_DistillateStock</t>
        </is>
      </c>
      <c r="C12" s="20" t="inlineStr">
        <is>
          <t>Distillate Stock</t>
        </is>
      </c>
      <c r="D12" s="21" t="inlineStr">
        <is>
          <t>TK957, TK958</t>
        </is>
      </c>
      <c r="E12" s="18" t="n">
        <v>2</v>
      </c>
      <c r="F12" s="22" t="inlineStr">
        <is>
          <t>SUM</t>
        </is>
      </c>
      <c r="G12" s="23" t="inlineStr">
        <is>
          <t>AVERAGE</t>
        </is>
      </c>
      <c r="H12" s="22" t="inlineStr">
        <is>
          <t>SUM</t>
        </is>
      </c>
      <c r="I12" s="22" t="inlineStr">
        <is>
          <t>SUM</t>
        </is>
      </c>
      <c r="J12" s="23" t="inlineStr">
        <is>
          <t>AVERAGE</t>
        </is>
      </c>
      <c r="K12" s="22" t="inlineStr">
        <is>
          <t>SUM</t>
        </is>
      </c>
      <c r="L12" s="22" t="inlineStr">
        <is>
          <t>SUM</t>
        </is>
      </c>
      <c r="M12" s="22" t="inlineStr">
        <is>
          <t>SUM</t>
        </is>
      </c>
      <c r="N12" s="22" t="inlineStr">
        <is>
          <t>SUM</t>
        </is>
      </c>
    </row>
    <row r="13" ht="30" customHeight="1">
      <c r="A13" s="24" t="n">
        <v>10</v>
      </c>
      <c r="B13" s="25" t="inlineStr">
        <is>
          <t>Acc_ExportDiesel</t>
        </is>
      </c>
      <c r="C13" s="26" t="inlineStr">
        <is>
          <t>Export Diesel</t>
        </is>
      </c>
      <c r="D13" s="27" t="inlineStr">
        <is>
          <t>TK56, TK57, TK58, TK59, TK60</t>
        </is>
      </c>
      <c r="E13" s="24" t="n">
        <v>5</v>
      </c>
      <c r="F13" s="22" t="inlineStr">
        <is>
          <t>SUM</t>
        </is>
      </c>
      <c r="G13" s="23" t="inlineStr">
        <is>
          <t>AVERAGE</t>
        </is>
      </c>
      <c r="H13" s="22" t="inlineStr">
        <is>
          <t>SUM</t>
        </is>
      </c>
      <c r="I13" s="22" t="inlineStr">
        <is>
          <t>SUM</t>
        </is>
      </c>
      <c r="J13" s="23" t="inlineStr">
        <is>
          <t>AVERAGE</t>
        </is>
      </c>
      <c r="K13" s="22" t="inlineStr">
        <is>
          <t>SUM</t>
        </is>
      </c>
      <c r="L13" s="22" t="inlineStr">
        <is>
          <t>SUM</t>
        </is>
      </c>
      <c r="M13" s="22" t="inlineStr">
        <is>
          <t>SUM</t>
        </is>
      </c>
      <c r="N13" s="22" t="inlineStr">
        <is>
          <t>SUM</t>
        </is>
      </c>
    </row>
    <row r="14" ht="30" customHeight="1">
      <c r="A14" s="18" t="n">
        <v>11</v>
      </c>
      <c r="B14" s="19" t="inlineStr">
        <is>
          <t>Acc_FuelOilBlndStck</t>
        </is>
      </c>
      <c r="C14" s="20" t="inlineStr">
        <is>
          <t>Fuel Oil Blend Stock</t>
        </is>
      </c>
      <c r="D14" s="21" t="inlineStr">
        <is>
          <t>TK152, TK84</t>
        </is>
      </c>
      <c r="E14" s="18" t="n">
        <v>2</v>
      </c>
      <c r="F14" s="22" t="inlineStr">
        <is>
          <t>SUM</t>
        </is>
      </c>
      <c r="G14" s="23" t="inlineStr">
        <is>
          <t>AVERAGE</t>
        </is>
      </c>
      <c r="H14" s="22" t="inlineStr">
        <is>
          <t>SUM</t>
        </is>
      </c>
      <c r="I14" s="22" t="inlineStr">
        <is>
          <t>SUM</t>
        </is>
      </c>
      <c r="J14" s="23" t="inlineStr">
        <is>
          <t>AVERAGE</t>
        </is>
      </c>
      <c r="K14" s="22" t="inlineStr">
        <is>
          <t>SUM</t>
        </is>
      </c>
      <c r="L14" s="22" t="inlineStr">
        <is>
          <t>SUM</t>
        </is>
      </c>
      <c r="M14" s="22" t="inlineStr">
        <is>
          <t>SUM</t>
        </is>
      </c>
      <c r="N14" s="22" t="inlineStr">
        <is>
          <t>SUM</t>
        </is>
      </c>
    </row>
    <row r="15" ht="30" customHeight="1">
      <c r="A15" s="24" t="n">
        <v>12</v>
      </c>
      <c r="B15" s="25" t="inlineStr">
        <is>
          <t>Acc_HighSulSlurry</t>
        </is>
      </c>
      <c r="C15" s="26" t="inlineStr">
        <is>
          <t>High Sulfur Slurry</t>
        </is>
      </c>
      <c r="D15" s="27" t="inlineStr">
        <is>
          <t>TK22</t>
        </is>
      </c>
      <c r="E15" s="24" t="n">
        <v>1</v>
      </c>
      <c r="F15" s="22" t="inlineStr">
        <is>
          <t>SUM</t>
        </is>
      </c>
      <c r="G15" s="23" t="inlineStr">
        <is>
          <t>AVERAGE</t>
        </is>
      </c>
      <c r="H15" s="22" t="inlineStr">
        <is>
          <t>SUM</t>
        </is>
      </c>
      <c r="I15" s="22" t="inlineStr">
        <is>
          <t>SUM</t>
        </is>
      </c>
      <c r="J15" s="23" t="inlineStr">
        <is>
          <t>AVERAGE</t>
        </is>
      </c>
      <c r="K15" s="22" t="inlineStr">
        <is>
          <t>SUM</t>
        </is>
      </c>
      <c r="L15" s="22" t="inlineStr">
        <is>
          <t>SUM</t>
        </is>
      </c>
      <c r="M15" s="22" t="inlineStr">
        <is>
          <t>SUM</t>
        </is>
      </c>
      <c r="N15" s="22" t="inlineStr">
        <is>
          <t>SUM</t>
        </is>
      </c>
    </row>
    <row r="16" ht="30" customHeight="1">
      <c r="A16" s="18" t="n">
        <v>13</v>
      </c>
      <c r="B16" s="19" t="inlineStr">
        <is>
          <t>Acc_HSFO</t>
        </is>
      </c>
      <c r="C16" s="20" t="inlineStr">
        <is>
          <t>High Sulfur Fuel Oil</t>
        </is>
      </c>
      <c r="D16" s="21" t="inlineStr">
        <is>
          <t>TK23</t>
        </is>
      </c>
      <c r="E16" s="18" t="n">
        <v>1</v>
      </c>
      <c r="F16" s="22" t="inlineStr">
        <is>
          <t>SUM</t>
        </is>
      </c>
      <c r="G16" s="23" t="inlineStr">
        <is>
          <t>AVERAGE</t>
        </is>
      </c>
      <c r="H16" s="22" t="inlineStr">
        <is>
          <t>SUM</t>
        </is>
      </c>
      <c r="I16" s="22" t="inlineStr">
        <is>
          <t>SUM</t>
        </is>
      </c>
      <c r="J16" s="23" t="inlineStr">
        <is>
          <t>AVERAGE</t>
        </is>
      </c>
      <c r="K16" s="22" t="inlineStr">
        <is>
          <t>SUM</t>
        </is>
      </c>
      <c r="L16" s="22" t="inlineStr">
        <is>
          <t>SUM</t>
        </is>
      </c>
      <c r="M16" s="22" t="inlineStr">
        <is>
          <t>SUM</t>
        </is>
      </c>
      <c r="N16" s="22" t="inlineStr">
        <is>
          <t>SUM</t>
        </is>
      </c>
    </row>
    <row r="17" ht="30" customHeight="1">
      <c r="A17" s="24" t="n">
        <v>14</v>
      </c>
      <c r="B17" s="25" t="inlineStr">
        <is>
          <t>Acc_HSVGO</t>
        </is>
      </c>
      <c r="C17" s="26" t="inlineStr">
        <is>
          <t>High Sulfur Vacuum Gas Oil</t>
        </is>
      </c>
      <c r="D17" s="27" t="inlineStr">
        <is>
          <t>TK24, TK25, TK26, TK61</t>
        </is>
      </c>
      <c r="E17" s="24" t="n">
        <v>4</v>
      </c>
      <c r="F17" s="22" t="inlineStr">
        <is>
          <t>SUM</t>
        </is>
      </c>
      <c r="G17" s="23" t="inlineStr">
        <is>
          <t>AVERAGE</t>
        </is>
      </c>
      <c r="H17" s="22" t="inlineStr">
        <is>
          <t>SUM</t>
        </is>
      </c>
      <c r="I17" s="22" t="inlineStr">
        <is>
          <t>SUM</t>
        </is>
      </c>
      <c r="J17" s="23" t="inlineStr">
        <is>
          <t>AVERAGE</t>
        </is>
      </c>
      <c r="K17" s="22" t="inlineStr">
        <is>
          <t>SUM</t>
        </is>
      </c>
      <c r="L17" s="22" t="inlineStr">
        <is>
          <t>SUM</t>
        </is>
      </c>
      <c r="M17" s="22" t="inlineStr">
        <is>
          <t>SUM</t>
        </is>
      </c>
      <c r="N17" s="22" t="inlineStr">
        <is>
          <t>SUM</t>
        </is>
      </c>
    </row>
    <row r="18" ht="30" customHeight="1">
      <c r="A18" s="18" t="n">
        <v>15</v>
      </c>
      <c r="B18" s="19" t="inlineStr">
        <is>
          <t>Acc_HvyCatGasoline</t>
        </is>
      </c>
      <c r="C18" s="20" t="inlineStr">
        <is>
          <t>Heavy Cat Gasoline</t>
        </is>
      </c>
      <c r="D18" s="21" t="inlineStr">
        <is>
          <t>TK71</t>
        </is>
      </c>
      <c r="E18" s="18" t="n">
        <v>1</v>
      </c>
      <c r="F18" s="22" t="inlineStr">
        <is>
          <t>SUM</t>
        </is>
      </c>
      <c r="G18" s="23" t="inlineStr">
        <is>
          <t>AVERAGE</t>
        </is>
      </c>
      <c r="H18" s="22" t="inlineStr">
        <is>
          <t>SUM</t>
        </is>
      </c>
      <c r="I18" s="22" t="inlineStr">
        <is>
          <t>SUM</t>
        </is>
      </c>
      <c r="J18" s="23" t="inlineStr">
        <is>
          <t>AVERAGE</t>
        </is>
      </c>
      <c r="K18" s="22" t="inlineStr">
        <is>
          <t>SUM</t>
        </is>
      </c>
      <c r="L18" s="22" t="inlineStr">
        <is>
          <t>SUM</t>
        </is>
      </c>
      <c r="M18" s="22" t="inlineStr">
        <is>
          <t>SUM</t>
        </is>
      </c>
      <c r="N18" s="22" t="inlineStr">
        <is>
          <t>SUM</t>
        </is>
      </c>
    </row>
    <row r="19" ht="30" customHeight="1">
      <c r="A19" s="24" t="n">
        <v>16</v>
      </c>
      <c r="B19" s="25" t="inlineStr">
        <is>
          <t>Acc_Isobutane</t>
        </is>
      </c>
      <c r="C19" s="26" t="inlineStr">
        <is>
          <t>Isobutane</t>
        </is>
      </c>
      <c r="D19" s="27" t="inlineStr">
        <is>
          <t>TK88, TK89</t>
        </is>
      </c>
      <c r="E19" s="24" t="n">
        <v>2</v>
      </c>
      <c r="F19" s="22" t="inlineStr">
        <is>
          <t>SUM</t>
        </is>
      </c>
      <c r="G19" s="23" t="inlineStr">
        <is>
          <t>AVERAGE</t>
        </is>
      </c>
      <c r="H19" s="22" t="inlineStr">
        <is>
          <t>SUM</t>
        </is>
      </c>
      <c r="I19" s="22" t="inlineStr">
        <is>
          <t>SUM</t>
        </is>
      </c>
      <c r="J19" s="23" t="inlineStr">
        <is>
          <t>AVERAGE</t>
        </is>
      </c>
      <c r="K19" s="22" t="inlineStr">
        <is>
          <t>SUM</t>
        </is>
      </c>
      <c r="L19" s="22" t="inlineStr">
        <is>
          <t>SUM</t>
        </is>
      </c>
      <c r="M19" s="22" t="inlineStr">
        <is>
          <t>SUM</t>
        </is>
      </c>
      <c r="N19" s="22" t="inlineStr">
        <is>
          <t>SUM</t>
        </is>
      </c>
    </row>
    <row r="20" ht="30" customHeight="1">
      <c r="A20" s="18" t="n">
        <v>17</v>
      </c>
      <c r="B20" s="19" t="inlineStr">
        <is>
          <t>Acc_Isomerate</t>
        </is>
      </c>
      <c r="C20" s="20" t="inlineStr">
        <is>
          <t>Isomerate</t>
        </is>
      </c>
      <c r="D20" s="21" t="inlineStr">
        <is>
          <t>TK69, TK70</t>
        </is>
      </c>
      <c r="E20" s="18" t="n">
        <v>2</v>
      </c>
      <c r="F20" s="22" t="inlineStr">
        <is>
          <t>SUM</t>
        </is>
      </c>
      <c r="G20" s="23" t="inlineStr">
        <is>
          <t>AVERAGE</t>
        </is>
      </c>
      <c r="H20" s="22" t="inlineStr">
        <is>
          <t>SUM</t>
        </is>
      </c>
      <c r="I20" s="22" t="inlineStr">
        <is>
          <t>SUM</t>
        </is>
      </c>
      <c r="J20" s="23" t="inlineStr">
        <is>
          <t>AVERAGE</t>
        </is>
      </c>
      <c r="K20" s="22" t="inlineStr">
        <is>
          <t>SUM</t>
        </is>
      </c>
      <c r="L20" s="22" t="inlineStr">
        <is>
          <t>SUM</t>
        </is>
      </c>
      <c r="M20" s="22" t="inlineStr">
        <is>
          <t>SUM</t>
        </is>
      </c>
      <c r="N20" s="22" t="inlineStr">
        <is>
          <t>SUM</t>
        </is>
      </c>
    </row>
    <row r="21" ht="30" customHeight="1">
      <c r="A21" s="24" t="n">
        <v>18</v>
      </c>
      <c r="B21" s="25" t="inlineStr">
        <is>
          <t>Acc_JetBlendstock</t>
        </is>
      </c>
      <c r="C21" s="26" t="inlineStr">
        <is>
          <t>Jet Fuel Blendstock</t>
        </is>
      </c>
      <c r="D21" s="27" t="inlineStr">
        <is>
          <t>TK4</t>
        </is>
      </c>
      <c r="E21" s="24" t="n">
        <v>1</v>
      </c>
      <c r="F21" s="22" t="inlineStr">
        <is>
          <t>SUM</t>
        </is>
      </c>
      <c r="G21" s="23" t="inlineStr">
        <is>
          <t>AVERAGE</t>
        </is>
      </c>
      <c r="H21" s="22" t="inlineStr">
        <is>
          <t>SUM</t>
        </is>
      </c>
      <c r="I21" s="22" t="inlineStr">
        <is>
          <t>SUM</t>
        </is>
      </c>
      <c r="J21" s="23" t="inlineStr">
        <is>
          <t>AVERAGE</t>
        </is>
      </c>
      <c r="K21" s="22" t="inlineStr">
        <is>
          <t>SUM</t>
        </is>
      </c>
      <c r="L21" s="22" t="inlineStr">
        <is>
          <t>SUM</t>
        </is>
      </c>
      <c r="M21" s="22" t="inlineStr">
        <is>
          <t>SUM</t>
        </is>
      </c>
      <c r="N21" s="22" t="inlineStr">
        <is>
          <t>SUM</t>
        </is>
      </c>
    </row>
    <row r="22" ht="30" customHeight="1">
      <c r="A22" s="18" t="n">
        <v>19</v>
      </c>
      <c r="B22" s="19" t="inlineStr">
        <is>
          <t>Acc_JetFuel</t>
        </is>
      </c>
      <c r="C22" s="20" t="inlineStr">
        <is>
          <t>Jet Fuel</t>
        </is>
      </c>
      <c r="D22" s="21" t="inlineStr">
        <is>
          <t>TK32, TK33, TK34, TK40, TK44, TK49</t>
        </is>
      </c>
      <c r="E22" s="18" t="n">
        <v>6</v>
      </c>
      <c r="F22" s="22" t="inlineStr">
        <is>
          <t>SUM</t>
        </is>
      </c>
      <c r="G22" s="23" t="inlineStr">
        <is>
          <t>AVERAGE</t>
        </is>
      </c>
      <c r="H22" s="22" t="inlineStr">
        <is>
          <t>SUM</t>
        </is>
      </c>
      <c r="I22" s="22" t="inlineStr">
        <is>
          <t>SUM</t>
        </is>
      </c>
      <c r="J22" s="23" t="inlineStr">
        <is>
          <t>AVERAGE</t>
        </is>
      </c>
      <c r="K22" s="22" t="inlineStr">
        <is>
          <t>SUM</t>
        </is>
      </c>
      <c r="L22" s="22" t="inlineStr">
        <is>
          <t>SUM</t>
        </is>
      </c>
      <c r="M22" s="22" t="inlineStr">
        <is>
          <t>SUM</t>
        </is>
      </c>
      <c r="N22" s="22" t="inlineStr">
        <is>
          <t>SUM</t>
        </is>
      </c>
    </row>
    <row r="23" ht="30" customHeight="1">
      <c r="A23" s="24" t="n">
        <v>20</v>
      </c>
      <c r="B23" s="25" t="inlineStr">
        <is>
          <t>Acc_KeroBlndStck</t>
        </is>
      </c>
      <c r="C23" s="26" t="inlineStr">
        <is>
          <t>Unfinished Kerosene Blendstock</t>
        </is>
      </c>
      <c r="D23" s="27" t="inlineStr">
        <is>
          <t>TK35, TK773, TK96, TK97</t>
        </is>
      </c>
      <c r="E23" s="24" t="n">
        <v>4</v>
      </c>
      <c r="F23" s="22" t="inlineStr">
        <is>
          <t>SUM</t>
        </is>
      </c>
      <c r="G23" s="23" t="inlineStr">
        <is>
          <t>AVERAGE</t>
        </is>
      </c>
      <c r="H23" s="22" t="inlineStr">
        <is>
          <t>SUM</t>
        </is>
      </c>
      <c r="I23" s="22" t="inlineStr">
        <is>
          <t>SUM</t>
        </is>
      </c>
      <c r="J23" s="23" t="inlineStr">
        <is>
          <t>AVERAGE</t>
        </is>
      </c>
      <c r="K23" s="22" t="inlineStr">
        <is>
          <t>SUM</t>
        </is>
      </c>
      <c r="L23" s="22" t="inlineStr">
        <is>
          <t>SUM</t>
        </is>
      </c>
      <c r="M23" s="22" t="inlineStr">
        <is>
          <t>SUM</t>
        </is>
      </c>
      <c r="N23" s="22" t="inlineStr">
        <is>
          <t>SUM</t>
        </is>
      </c>
    </row>
    <row r="24" ht="30" customHeight="1">
      <c r="A24" s="18" t="n">
        <v>21</v>
      </c>
      <c r="B24" s="19" t="inlineStr">
        <is>
          <t>Acc_LCO</t>
        </is>
      </c>
      <c r="C24" s="20" t="inlineStr">
        <is>
          <t>Light Cycle Oil</t>
        </is>
      </c>
      <c r="D24" s="21" t="inlineStr">
        <is>
          <t>TK968</t>
        </is>
      </c>
      <c r="E24" s="18" t="n">
        <v>1</v>
      </c>
      <c r="F24" s="22" t="inlineStr">
        <is>
          <t>SUM</t>
        </is>
      </c>
      <c r="G24" s="23" t="inlineStr">
        <is>
          <t>AVERAGE</t>
        </is>
      </c>
      <c r="H24" s="22" t="inlineStr">
        <is>
          <t>SUM</t>
        </is>
      </c>
      <c r="I24" s="22" t="inlineStr">
        <is>
          <t>SUM</t>
        </is>
      </c>
      <c r="J24" s="23" t="inlineStr">
        <is>
          <t>AVERAGE</t>
        </is>
      </c>
      <c r="K24" s="22" t="inlineStr">
        <is>
          <t>SUM</t>
        </is>
      </c>
      <c r="L24" s="22" t="inlineStr">
        <is>
          <t>SUM</t>
        </is>
      </c>
      <c r="M24" s="22" t="inlineStr">
        <is>
          <t>SUM</t>
        </is>
      </c>
      <c r="N24" s="22" t="inlineStr">
        <is>
          <t>SUM</t>
        </is>
      </c>
    </row>
    <row r="25" ht="30" customHeight="1">
      <c r="A25" s="24" t="n">
        <v>22</v>
      </c>
      <c r="B25" s="25" t="inlineStr">
        <is>
          <t>Acc_LNaphtha</t>
        </is>
      </c>
      <c r="C25" s="26" t="inlineStr">
        <is>
          <t>Light Naphtha</t>
        </is>
      </c>
      <c r="D25" s="27" t="inlineStr">
        <is>
          <t>TK93</t>
        </is>
      </c>
      <c r="E25" s="24" t="n">
        <v>1</v>
      </c>
      <c r="F25" s="22" t="inlineStr">
        <is>
          <t>SUM</t>
        </is>
      </c>
      <c r="G25" s="23" t="inlineStr">
        <is>
          <t>AVERAGE</t>
        </is>
      </c>
      <c r="H25" s="22" t="inlineStr">
        <is>
          <t>SUM</t>
        </is>
      </c>
      <c r="I25" s="22" t="inlineStr">
        <is>
          <t>SUM</t>
        </is>
      </c>
      <c r="J25" s="23" t="inlineStr">
        <is>
          <t>AVERAGE</t>
        </is>
      </c>
      <c r="K25" s="22" t="inlineStr">
        <is>
          <t>SUM</t>
        </is>
      </c>
      <c r="L25" s="22" t="inlineStr">
        <is>
          <t>SUM</t>
        </is>
      </c>
      <c r="M25" s="22" t="inlineStr">
        <is>
          <t>SUM</t>
        </is>
      </c>
      <c r="N25" s="22" t="inlineStr">
        <is>
          <t>SUM</t>
        </is>
      </c>
    </row>
    <row r="26" ht="30" customHeight="1">
      <c r="A26" s="18" t="n">
        <v>23</v>
      </c>
      <c r="B26" s="19" t="inlineStr">
        <is>
          <t>Acc_LowSulSlurry</t>
        </is>
      </c>
      <c r="C26" s="20" t="inlineStr">
        <is>
          <t>Low Sulfur Slurry</t>
        </is>
      </c>
      <c r="D26" s="21" t="inlineStr">
        <is>
          <t>TK11</t>
        </is>
      </c>
      <c r="E26" s="18" t="n">
        <v>1</v>
      </c>
      <c r="F26" s="22" t="inlineStr">
        <is>
          <t>SUM</t>
        </is>
      </c>
      <c r="G26" s="23" t="inlineStr">
        <is>
          <t>AVERAGE</t>
        </is>
      </c>
      <c r="H26" s="22" t="inlineStr">
        <is>
          <t>SUM</t>
        </is>
      </c>
      <c r="I26" s="22" t="inlineStr">
        <is>
          <t>SUM</t>
        </is>
      </c>
      <c r="J26" s="23" t="inlineStr">
        <is>
          <t>AVERAGE</t>
        </is>
      </c>
      <c r="K26" s="22" t="inlineStr">
        <is>
          <t>SUM</t>
        </is>
      </c>
      <c r="L26" s="22" t="inlineStr">
        <is>
          <t>SUM</t>
        </is>
      </c>
      <c r="M26" s="22" t="inlineStr">
        <is>
          <t>SUM</t>
        </is>
      </c>
      <c r="N26" s="22" t="inlineStr">
        <is>
          <t>SUM</t>
        </is>
      </c>
    </row>
    <row r="27" ht="30" customHeight="1">
      <c r="A27" s="24" t="n">
        <v>24</v>
      </c>
      <c r="B27" s="25" t="inlineStr">
        <is>
          <t>Acc_LSVGO</t>
        </is>
      </c>
      <c r="C27" s="26" t="inlineStr">
        <is>
          <t>Low Sulfur Vacuum Gas Oil</t>
        </is>
      </c>
      <c r="D27" s="27" t="inlineStr">
        <is>
          <t>TK14, TK502, TK956, TK959</t>
        </is>
      </c>
      <c r="E27" s="24" t="n">
        <v>4</v>
      </c>
      <c r="F27" s="22" t="inlineStr">
        <is>
          <t>SUM</t>
        </is>
      </c>
      <c r="G27" s="23" t="inlineStr">
        <is>
          <t>AVERAGE</t>
        </is>
      </c>
      <c r="H27" s="22" t="inlineStr">
        <is>
          <t>SUM</t>
        </is>
      </c>
      <c r="I27" s="22" t="inlineStr">
        <is>
          <t>SUM</t>
        </is>
      </c>
      <c r="J27" s="23" t="inlineStr">
        <is>
          <t>AVERAGE</t>
        </is>
      </c>
      <c r="K27" s="22" t="inlineStr">
        <is>
          <t>SUM</t>
        </is>
      </c>
      <c r="L27" s="22" t="inlineStr">
        <is>
          <t>SUM</t>
        </is>
      </c>
      <c r="M27" s="22" t="inlineStr">
        <is>
          <t>SUM</t>
        </is>
      </c>
      <c r="N27" s="22" t="inlineStr">
        <is>
          <t>SUM</t>
        </is>
      </c>
    </row>
    <row r="28" ht="30" customHeight="1">
      <c r="A28" s="18" t="n">
        <v>25</v>
      </c>
      <c r="B28" s="19" t="inlineStr">
        <is>
          <t>Acc_LtCatGasoline</t>
        </is>
      </c>
      <c r="C28" s="20" t="inlineStr">
        <is>
          <t>Light Cat Gasoline</t>
        </is>
      </c>
      <c r="D28" s="21" t="inlineStr">
        <is>
          <t>TK68</t>
        </is>
      </c>
      <c r="E28" s="18" t="n">
        <v>1</v>
      </c>
      <c r="F28" s="22" t="inlineStr">
        <is>
          <t>SUM</t>
        </is>
      </c>
      <c r="G28" s="23" t="inlineStr">
        <is>
          <t>AVERAGE</t>
        </is>
      </c>
      <c r="H28" s="22" t="inlineStr">
        <is>
          <t>SUM</t>
        </is>
      </c>
      <c r="I28" s="22" t="inlineStr">
        <is>
          <t>SUM</t>
        </is>
      </c>
      <c r="J28" s="23" t="inlineStr">
        <is>
          <t>AVERAGE</t>
        </is>
      </c>
      <c r="K28" s="22" t="inlineStr">
        <is>
          <t>SUM</t>
        </is>
      </c>
      <c r="L28" s="22" t="inlineStr">
        <is>
          <t>SUM</t>
        </is>
      </c>
      <c r="M28" s="22" t="inlineStr">
        <is>
          <t>SUM</t>
        </is>
      </c>
      <c r="N28" s="22" t="inlineStr">
        <is>
          <t>SUM</t>
        </is>
      </c>
    </row>
    <row r="29" ht="30" customHeight="1">
      <c r="A29" s="24" t="n">
        <v>26</v>
      </c>
      <c r="B29" s="25" t="inlineStr">
        <is>
          <t>Acc_MedCatGasoline</t>
        </is>
      </c>
      <c r="C29" s="26" t="inlineStr">
        <is>
          <t>Medium Cat Gasoline</t>
        </is>
      </c>
      <c r="D29" s="27" t="inlineStr">
        <is>
          <t>TK66</t>
        </is>
      </c>
      <c r="E29" s="24" t="n">
        <v>1</v>
      </c>
      <c r="F29" s="22" t="inlineStr">
        <is>
          <t>SUM</t>
        </is>
      </c>
      <c r="G29" s="23" t="inlineStr">
        <is>
          <t>AVERAGE</t>
        </is>
      </c>
      <c r="H29" s="22" t="inlineStr">
        <is>
          <t>SUM</t>
        </is>
      </c>
      <c r="I29" s="22" t="inlineStr">
        <is>
          <t>SUM</t>
        </is>
      </c>
      <c r="J29" s="23" t="inlineStr">
        <is>
          <t>AVERAGE</t>
        </is>
      </c>
      <c r="K29" s="22" t="inlineStr">
        <is>
          <t>SUM</t>
        </is>
      </c>
      <c r="L29" s="22" t="inlineStr">
        <is>
          <t>SUM</t>
        </is>
      </c>
      <c r="M29" s="22" t="inlineStr">
        <is>
          <t>SUM</t>
        </is>
      </c>
      <c r="N29" s="22" t="inlineStr">
        <is>
          <t>SUM</t>
        </is>
      </c>
    </row>
    <row r="30" ht="30" customHeight="1">
      <c r="A30" s="18" t="n">
        <v>27</v>
      </c>
      <c r="B30" s="19" t="inlineStr">
        <is>
          <t>Acc_MixedButane</t>
        </is>
      </c>
      <c r="C30" s="20" t="inlineStr">
        <is>
          <t>Mixed Butane</t>
        </is>
      </c>
      <c r="D30" s="21" t="inlineStr">
        <is>
          <t>TK683, TK73</t>
        </is>
      </c>
      <c r="E30" s="18" t="n">
        <v>2</v>
      </c>
      <c r="F30" s="22" t="inlineStr">
        <is>
          <t>SUM</t>
        </is>
      </c>
      <c r="G30" s="23" t="inlineStr">
        <is>
          <t>AVERAGE</t>
        </is>
      </c>
      <c r="H30" s="22" t="inlineStr">
        <is>
          <t>SUM</t>
        </is>
      </c>
      <c r="I30" s="22" t="inlineStr">
        <is>
          <t>SUM</t>
        </is>
      </c>
      <c r="J30" s="23" t="inlineStr">
        <is>
          <t>AVERAGE</t>
        </is>
      </c>
      <c r="K30" s="22" t="inlineStr">
        <is>
          <t>SUM</t>
        </is>
      </c>
      <c r="L30" s="22" t="inlineStr">
        <is>
          <t>SUM</t>
        </is>
      </c>
      <c r="M30" s="22" t="inlineStr">
        <is>
          <t>SUM</t>
        </is>
      </c>
      <c r="N30" s="22" t="inlineStr">
        <is>
          <t>SUM</t>
        </is>
      </c>
    </row>
    <row r="31" ht="30" customHeight="1">
      <c r="A31" s="24" t="n">
        <v>28</v>
      </c>
      <c r="B31" s="25" t="inlineStr">
        <is>
          <t>Acc_MixedPentane</t>
        </is>
      </c>
      <c r="C31" s="26" t="inlineStr">
        <is>
          <t>Mixed Pentanes</t>
        </is>
      </c>
      <c r="D31" s="27" t="inlineStr">
        <is>
          <t>TK138, TK139, TK684</t>
        </is>
      </c>
      <c r="E31" s="24" t="n">
        <v>3</v>
      </c>
      <c r="F31" s="22" t="inlineStr">
        <is>
          <t>SUM</t>
        </is>
      </c>
      <c r="G31" s="23" t="inlineStr">
        <is>
          <t>AVERAGE</t>
        </is>
      </c>
      <c r="H31" s="22" t="inlineStr">
        <is>
          <t>SUM</t>
        </is>
      </c>
      <c r="I31" s="22" t="inlineStr">
        <is>
          <t>SUM</t>
        </is>
      </c>
      <c r="J31" s="23" t="inlineStr">
        <is>
          <t>AVERAGE</t>
        </is>
      </c>
      <c r="K31" s="22" t="inlineStr">
        <is>
          <t>SUM</t>
        </is>
      </c>
      <c r="L31" s="22" t="inlineStr">
        <is>
          <t>SUM</t>
        </is>
      </c>
      <c r="M31" s="22" t="inlineStr">
        <is>
          <t>SUM</t>
        </is>
      </c>
      <c r="N31" s="22" t="inlineStr">
        <is>
          <t>SUM</t>
        </is>
      </c>
    </row>
    <row r="32" ht="30" customHeight="1">
      <c r="A32" s="18" t="n">
        <v>29</v>
      </c>
      <c r="B32" s="19" t="inlineStr">
        <is>
          <t>Acc_MoltenSulfur</t>
        </is>
      </c>
      <c r="C32" s="20" t="inlineStr">
        <is>
          <t>Molten Sulfur</t>
        </is>
      </c>
      <c r="D32" s="21" t="inlineStr">
        <is>
          <t>TK619</t>
        </is>
      </c>
      <c r="E32" s="18" t="n">
        <v>1</v>
      </c>
      <c r="F32" s="22" t="inlineStr">
        <is>
          <t>SUM</t>
        </is>
      </c>
      <c r="G32" s="23" t="inlineStr">
        <is>
          <t>AVERAGE</t>
        </is>
      </c>
      <c r="H32" s="22" t="inlineStr">
        <is>
          <t>SUM</t>
        </is>
      </c>
      <c r="I32" s="22" t="inlineStr">
        <is>
          <t>SUM</t>
        </is>
      </c>
      <c r="J32" s="23" t="inlineStr">
        <is>
          <t>AVERAGE</t>
        </is>
      </c>
      <c r="K32" s="22" t="inlineStr">
        <is>
          <t>SUM</t>
        </is>
      </c>
      <c r="L32" s="22" t="inlineStr">
        <is>
          <t>SUM</t>
        </is>
      </c>
      <c r="M32" s="22" t="inlineStr">
        <is>
          <t>SUM</t>
        </is>
      </c>
      <c r="N32" s="22" t="inlineStr">
        <is>
          <t>SUM</t>
        </is>
      </c>
    </row>
    <row r="33" ht="30" customHeight="1">
      <c r="A33" s="24" t="n">
        <v>30</v>
      </c>
      <c r="B33" s="25" t="inlineStr">
        <is>
          <t>Acc_NormalButane</t>
        </is>
      </c>
      <c r="C33" s="26" t="inlineStr">
        <is>
          <t>Normal Butane</t>
        </is>
      </c>
      <c r="D33" s="27" t="inlineStr">
        <is>
          <t>LF_002, TK79, TK86, TK87</t>
        </is>
      </c>
      <c r="E33" s="24" t="n">
        <v>4</v>
      </c>
      <c r="F33" s="22" t="inlineStr">
        <is>
          <t>SUM</t>
        </is>
      </c>
      <c r="G33" s="23" t="inlineStr">
        <is>
          <t>AVERAGE</t>
        </is>
      </c>
      <c r="H33" s="22" t="inlineStr">
        <is>
          <t>SUM</t>
        </is>
      </c>
      <c r="I33" s="22" t="inlineStr">
        <is>
          <t>SUM</t>
        </is>
      </c>
      <c r="J33" s="23" t="inlineStr">
        <is>
          <t>AVERAGE</t>
        </is>
      </c>
      <c r="K33" s="22" t="inlineStr">
        <is>
          <t>SUM</t>
        </is>
      </c>
      <c r="L33" s="22" t="inlineStr">
        <is>
          <t>SUM</t>
        </is>
      </c>
      <c r="M33" s="22" t="inlineStr">
        <is>
          <t>SUM</t>
        </is>
      </c>
      <c r="N33" s="22" t="inlineStr">
        <is>
          <t>SUM</t>
        </is>
      </c>
    </row>
    <row r="34" ht="30" customHeight="1">
      <c r="A34" s="18" t="n">
        <v>31</v>
      </c>
      <c r="B34" s="19" t="inlineStr">
        <is>
          <t>Acc_OOS</t>
        </is>
      </c>
      <c r="C34" s="20" t="inlineStr">
        <is>
          <t>Out of Service (Group 1)</t>
        </is>
      </c>
      <c r="D34" s="21" t="inlineStr">
        <is>
          <t>TK155, TK157, TK187, TK289, TK355, TK42, TK620, TK776, TK905</t>
        </is>
      </c>
      <c r="E34" s="18" t="n">
        <v>9</v>
      </c>
      <c r="F34" s="22" t="inlineStr">
        <is>
          <t>SUM</t>
        </is>
      </c>
      <c r="G34" s="23" t="inlineStr">
        <is>
          <t>AVERAGE</t>
        </is>
      </c>
      <c r="H34" s="22" t="inlineStr">
        <is>
          <t>SUM</t>
        </is>
      </c>
      <c r="I34" s="22" t="inlineStr">
        <is>
          <t>SUM</t>
        </is>
      </c>
      <c r="J34" s="23" t="inlineStr">
        <is>
          <t>AVERAGE</t>
        </is>
      </c>
      <c r="K34" s="22" t="inlineStr">
        <is>
          <t>SUM</t>
        </is>
      </c>
      <c r="L34" s="22" t="inlineStr">
        <is>
          <t>SUM</t>
        </is>
      </c>
      <c r="M34" s="22" t="inlineStr">
        <is>
          <t>SUM</t>
        </is>
      </c>
      <c r="N34" s="22" t="inlineStr">
        <is>
          <t>SUM</t>
        </is>
      </c>
    </row>
    <row r="35" ht="30" customHeight="1">
      <c r="A35" s="24" t="n">
        <v>32</v>
      </c>
      <c r="B35" s="25" t="inlineStr">
        <is>
          <t>Acc_PetCoke</t>
        </is>
      </c>
      <c r="C35" s="26" t="inlineStr">
        <is>
          <t>Petroleum Coke</t>
        </is>
      </c>
      <c r="D35" s="27" t="inlineStr">
        <is>
          <t>TK_Coke</t>
        </is>
      </c>
      <c r="E35" s="24" t="n">
        <v>1</v>
      </c>
      <c r="F35" s="22" t="inlineStr">
        <is>
          <t>SUM</t>
        </is>
      </c>
      <c r="G35" s="23" t="inlineStr">
        <is>
          <t>AVERAGE</t>
        </is>
      </c>
      <c r="H35" s="22" t="inlineStr">
        <is>
          <t>SUM</t>
        </is>
      </c>
      <c r="I35" s="22" t="inlineStr">
        <is>
          <t>SUM</t>
        </is>
      </c>
      <c r="J35" s="23" t="inlineStr">
        <is>
          <t>AVERAGE</t>
        </is>
      </c>
      <c r="K35" s="22" t="inlineStr">
        <is>
          <t>SUM</t>
        </is>
      </c>
      <c r="L35" s="22" t="inlineStr">
        <is>
          <t>SUM</t>
        </is>
      </c>
      <c r="M35" s="22" t="inlineStr">
        <is>
          <t>SUM</t>
        </is>
      </c>
      <c r="N35" s="22" t="inlineStr">
        <is>
          <t>SUM</t>
        </is>
      </c>
    </row>
    <row r="36" ht="30" customHeight="1">
      <c r="A36" s="18" t="n">
        <v>33</v>
      </c>
      <c r="B36" s="19" t="inlineStr">
        <is>
          <t>Acc_Reformate</t>
        </is>
      </c>
      <c r="C36" s="20" t="inlineStr">
        <is>
          <t>Reformate</t>
        </is>
      </c>
      <c r="D36" s="21" t="inlineStr">
        <is>
          <t>TK62, TK63</t>
        </is>
      </c>
      <c r="E36" s="18" t="n">
        <v>2</v>
      </c>
      <c r="F36" s="22" t="inlineStr">
        <is>
          <t>SUM</t>
        </is>
      </c>
      <c r="G36" s="23" t="inlineStr">
        <is>
          <t>AVERAGE</t>
        </is>
      </c>
      <c r="H36" s="22" t="inlineStr">
        <is>
          <t>SUM</t>
        </is>
      </c>
      <c r="I36" s="22" t="inlineStr">
        <is>
          <t>SUM</t>
        </is>
      </c>
      <c r="J36" s="23" t="inlineStr">
        <is>
          <t>AVERAGE</t>
        </is>
      </c>
      <c r="K36" s="22" t="inlineStr">
        <is>
          <t>SUM</t>
        </is>
      </c>
      <c r="L36" s="22" t="inlineStr">
        <is>
          <t>SUM</t>
        </is>
      </c>
      <c r="M36" s="22" t="inlineStr">
        <is>
          <t>SUM</t>
        </is>
      </c>
      <c r="N36" s="22" t="inlineStr">
        <is>
          <t>SUM</t>
        </is>
      </c>
    </row>
    <row r="37" ht="30" customHeight="1">
      <c r="A37" s="24" t="n">
        <v>34</v>
      </c>
      <c r="B37" s="25" t="inlineStr">
        <is>
          <t>Acc_RefPropylene</t>
        </is>
      </c>
      <c r="C37" s="26" t="inlineStr">
        <is>
          <t>Refinery Grade Propylene</t>
        </is>
      </c>
      <c r="D37" s="27" t="inlineStr">
        <is>
          <t>TK350, TK351, TK352, TK353</t>
        </is>
      </c>
      <c r="E37" s="24" t="n">
        <v>4</v>
      </c>
      <c r="F37" s="22" t="inlineStr">
        <is>
          <t>SUM</t>
        </is>
      </c>
      <c r="G37" s="23" t="inlineStr">
        <is>
          <t>AVERAGE</t>
        </is>
      </c>
      <c r="H37" s="22" t="inlineStr">
        <is>
          <t>SUM</t>
        </is>
      </c>
      <c r="I37" s="22" t="inlineStr">
        <is>
          <t>SUM</t>
        </is>
      </c>
      <c r="J37" s="23" t="inlineStr">
        <is>
          <t>AVERAGE</t>
        </is>
      </c>
      <c r="K37" s="22" t="inlineStr">
        <is>
          <t>SUM</t>
        </is>
      </c>
      <c r="L37" s="22" t="inlineStr">
        <is>
          <t>SUM</t>
        </is>
      </c>
      <c r="M37" s="22" t="inlineStr">
        <is>
          <t>SUM</t>
        </is>
      </c>
      <c r="N37" s="22" t="inlineStr">
        <is>
          <t>SUM</t>
        </is>
      </c>
    </row>
    <row r="38" ht="30" customHeight="1">
      <c r="A38" s="18" t="n">
        <v>35</v>
      </c>
      <c r="B38" s="19" t="inlineStr">
        <is>
          <t>Acc_RenewDiesel</t>
        </is>
      </c>
      <c r="C38" s="20" t="inlineStr">
        <is>
          <t>Renewable Diesel Consumption</t>
        </is>
      </c>
      <c r="D38" s="21" t="inlineStr">
        <is>
          <t>TK36, TK37, TK39</t>
        </is>
      </c>
      <c r="E38" s="18" t="n">
        <v>3</v>
      </c>
      <c r="F38" s="22" t="inlineStr">
        <is>
          <t>SUM</t>
        </is>
      </c>
      <c r="G38" s="23" t="inlineStr">
        <is>
          <t>AVERAGE</t>
        </is>
      </c>
      <c r="H38" s="22" t="inlineStr">
        <is>
          <t>SUM</t>
        </is>
      </c>
      <c r="I38" s="22" t="inlineStr">
        <is>
          <t>SUM</t>
        </is>
      </c>
      <c r="J38" s="23" t="inlineStr">
        <is>
          <t>AVERAGE</t>
        </is>
      </c>
      <c r="K38" s="22" t="inlineStr">
        <is>
          <t>SUM</t>
        </is>
      </c>
      <c r="L38" s="22" t="inlineStr">
        <is>
          <t>SUM</t>
        </is>
      </c>
      <c r="M38" s="22" t="inlineStr">
        <is>
          <t>SUM</t>
        </is>
      </c>
      <c r="N38" s="22" t="inlineStr">
        <is>
          <t>SUM</t>
        </is>
      </c>
    </row>
    <row r="39" ht="30" customHeight="1">
      <c r="A39" s="24" t="n">
        <v>36</v>
      </c>
      <c r="B39" s="25" t="inlineStr">
        <is>
          <t>Acc_RenewNaph</t>
        </is>
      </c>
      <c r="C39" s="26" t="inlineStr">
        <is>
          <t>Renewable Naphtha Consumption</t>
        </is>
      </c>
      <c r="D39" s="27" t="inlineStr">
        <is>
          <t>TK27, TK28</t>
        </is>
      </c>
      <c r="E39" s="24" t="n">
        <v>2</v>
      </c>
      <c r="F39" s="22" t="inlineStr">
        <is>
          <t>SUM</t>
        </is>
      </c>
      <c r="G39" s="23" t="inlineStr">
        <is>
          <t>AVERAGE</t>
        </is>
      </c>
      <c r="H39" s="22" t="inlineStr">
        <is>
          <t>SUM</t>
        </is>
      </c>
      <c r="I39" s="22" t="inlineStr">
        <is>
          <t>SUM</t>
        </is>
      </c>
      <c r="J39" s="23" t="inlineStr">
        <is>
          <t>AVERAGE</t>
        </is>
      </c>
      <c r="K39" s="22" t="inlineStr">
        <is>
          <t>SUM</t>
        </is>
      </c>
      <c r="L39" s="22" t="inlineStr">
        <is>
          <t>SUM</t>
        </is>
      </c>
      <c r="M39" s="22" t="inlineStr">
        <is>
          <t>SUM</t>
        </is>
      </c>
      <c r="N39" s="22" t="inlineStr">
        <is>
          <t>SUM</t>
        </is>
      </c>
    </row>
    <row r="40" ht="30" customHeight="1">
      <c r="A40" s="18" t="n">
        <v>37</v>
      </c>
      <c r="B40" s="19" t="inlineStr">
        <is>
          <t>Acc_SlopOil</t>
        </is>
      </c>
      <c r="C40" s="20" t="inlineStr">
        <is>
          <t>Slop Oil</t>
        </is>
      </c>
      <c r="D40" s="21" t="inlineStr">
        <is>
          <t>TK1, TK101, TK102, TK103, TK12, TK154, TK164, TK188, TK189, TK190, TK194, TK284, TK426, TK614, TK700, TK777, TK778</t>
        </is>
      </c>
      <c r="E40" s="18" t="n">
        <v>17</v>
      </c>
      <c r="F40" s="22" t="inlineStr">
        <is>
          <t>SUM</t>
        </is>
      </c>
      <c r="G40" s="23" t="inlineStr">
        <is>
          <t>AVERAGE</t>
        </is>
      </c>
      <c r="H40" s="22" t="inlineStr">
        <is>
          <t>SUM</t>
        </is>
      </c>
      <c r="I40" s="22" t="inlineStr">
        <is>
          <t>SUM</t>
        </is>
      </c>
      <c r="J40" s="23" t="inlineStr">
        <is>
          <t>AVERAGE</t>
        </is>
      </c>
      <c r="K40" s="22" t="inlineStr">
        <is>
          <t>SUM</t>
        </is>
      </c>
      <c r="L40" s="22" t="inlineStr">
        <is>
          <t>SUM</t>
        </is>
      </c>
      <c r="M40" s="22" t="inlineStr">
        <is>
          <t>SUM</t>
        </is>
      </c>
      <c r="N40" s="22" t="inlineStr">
        <is>
          <t>SUM</t>
        </is>
      </c>
    </row>
    <row r="41" ht="30" customHeight="1">
      <c r="A41" s="24" t="n">
        <v>38</v>
      </c>
      <c r="B41" s="25" t="inlineStr">
        <is>
          <t>Acc_SourNaph</t>
        </is>
      </c>
      <c r="C41" s="26" t="inlineStr">
        <is>
          <t>Sour Naphtha</t>
        </is>
      </c>
      <c r="D41" s="27" t="inlineStr">
        <is>
          <t>TK681, TK90, TK91, TK969</t>
        </is>
      </c>
      <c r="E41" s="24" t="n">
        <v>4</v>
      </c>
      <c r="F41" s="22" t="inlineStr">
        <is>
          <t>SUM</t>
        </is>
      </c>
      <c r="G41" s="23" t="inlineStr">
        <is>
          <t>AVERAGE</t>
        </is>
      </c>
      <c r="H41" s="22" t="inlineStr">
        <is>
          <t>SUM</t>
        </is>
      </c>
      <c r="I41" s="22" t="inlineStr">
        <is>
          <t>SUM</t>
        </is>
      </c>
      <c r="J41" s="23" t="inlineStr">
        <is>
          <t>AVERAGE</t>
        </is>
      </c>
      <c r="K41" s="22" t="inlineStr">
        <is>
          <t>SUM</t>
        </is>
      </c>
      <c r="L41" s="22" t="inlineStr">
        <is>
          <t>SUM</t>
        </is>
      </c>
      <c r="M41" s="22" t="inlineStr">
        <is>
          <t>SUM</t>
        </is>
      </c>
      <c r="N41" s="22" t="inlineStr">
        <is>
          <t>SUM</t>
        </is>
      </c>
    </row>
    <row r="42" ht="30" customHeight="1">
      <c r="A42" s="18" t="n">
        <v>39</v>
      </c>
      <c r="B42" s="19" t="inlineStr">
        <is>
          <t>Acc_SRNaphtha</t>
        </is>
      </c>
      <c r="C42" s="20" t="inlineStr">
        <is>
          <t>Straight Run Naphtha</t>
        </is>
      </c>
      <c r="D42" s="21" t="inlineStr">
        <is>
          <t>TK74, TK75, TK955</t>
        </is>
      </c>
      <c r="E42" s="18" t="n">
        <v>3</v>
      </c>
      <c r="F42" s="22" t="inlineStr">
        <is>
          <t>SUM</t>
        </is>
      </c>
      <c r="G42" s="23" t="inlineStr">
        <is>
          <t>AVERAGE</t>
        </is>
      </c>
      <c r="H42" s="22" t="inlineStr">
        <is>
          <t>SUM</t>
        </is>
      </c>
      <c r="I42" s="22" t="inlineStr">
        <is>
          <t>SUM</t>
        </is>
      </c>
      <c r="J42" s="23" t="inlineStr">
        <is>
          <t>AVERAGE</t>
        </is>
      </c>
      <c r="K42" s="22" t="inlineStr">
        <is>
          <t>SUM</t>
        </is>
      </c>
      <c r="L42" s="22" t="inlineStr">
        <is>
          <t>SUM</t>
        </is>
      </c>
      <c r="M42" s="22" t="inlineStr">
        <is>
          <t>SUM</t>
        </is>
      </c>
      <c r="N42" s="22" t="inlineStr">
        <is>
          <t>SUM</t>
        </is>
      </c>
    </row>
    <row r="43" ht="30" customHeight="1">
      <c r="A43" s="24" t="n">
        <v>40</v>
      </c>
      <c r="B43" s="25" t="inlineStr">
        <is>
          <t>Acc_SweetNaph</t>
        </is>
      </c>
      <c r="C43" s="26" t="inlineStr">
        <is>
          <t>Sweet Naphtha</t>
        </is>
      </c>
      <c r="D43" s="27" t="inlineStr">
        <is>
          <t>TK67</t>
        </is>
      </c>
      <c r="E43" s="24" t="n">
        <v>1</v>
      </c>
      <c r="F43" s="22" t="inlineStr">
        <is>
          <t>SUM</t>
        </is>
      </c>
      <c r="G43" s="23" t="inlineStr">
        <is>
          <t>AVERAGE</t>
        </is>
      </c>
      <c r="H43" s="22" t="inlineStr">
        <is>
          <t>SUM</t>
        </is>
      </c>
      <c r="I43" s="22" t="inlineStr">
        <is>
          <t>SUM</t>
        </is>
      </c>
      <c r="J43" s="23" t="inlineStr">
        <is>
          <t>AVERAGE</t>
        </is>
      </c>
      <c r="K43" s="22" t="inlineStr">
        <is>
          <t>SUM</t>
        </is>
      </c>
      <c r="L43" s="22" t="inlineStr">
        <is>
          <t>SUM</t>
        </is>
      </c>
      <c r="M43" s="22" t="inlineStr">
        <is>
          <t>SUM</t>
        </is>
      </c>
      <c r="N43" s="22" t="inlineStr">
        <is>
          <t>SUM</t>
        </is>
      </c>
    </row>
    <row r="44" ht="30" customHeight="1">
      <c r="A44" s="18" t="n">
        <v>41</v>
      </c>
      <c r="B44" s="19" t="inlineStr">
        <is>
          <t>Acc_Transmix</t>
        </is>
      </c>
      <c r="C44" s="20" t="inlineStr">
        <is>
          <t>Transmix</t>
        </is>
      </c>
      <c r="D44" s="21" t="inlineStr">
        <is>
          <t>TK191, TK192, TK29, TK30</t>
        </is>
      </c>
      <c r="E44" s="18" t="n">
        <v>4</v>
      </c>
      <c r="F44" s="22" t="inlineStr">
        <is>
          <t>SUM</t>
        </is>
      </c>
      <c r="G44" s="23" t="inlineStr">
        <is>
          <t>AVERAGE</t>
        </is>
      </c>
      <c r="H44" s="22" t="inlineStr">
        <is>
          <t>SUM</t>
        </is>
      </c>
      <c r="I44" s="22" t="inlineStr">
        <is>
          <t>SUM</t>
        </is>
      </c>
      <c r="J44" s="23" t="inlineStr">
        <is>
          <t>AVERAGE</t>
        </is>
      </c>
      <c r="K44" s="22" t="inlineStr">
        <is>
          <t>SUM</t>
        </is>
      </c>
      <c r="L44" s="22" t="inlineStr">
        <is>
          <t>SUM</t>
        </is>
      </c>
      <c r="M44" s="22" t="inlineStr">
        <is>
          <t>SUM</t>
        </is>
      </c>
      <c r="N44" s="22" t="inlineStr">
        <is>
          <t>SUM</t>
        </is>
      </c>
    </row>
    <row r="45" ht="30" customHeight="1">
      <c r="A45" s="24" t="n">
        <v>42</v>
      </c>
      <c r="B45" s="25" t="inlineStr">
        <is>
          <t>Acc_ULSD2</t>
        </is>
      </c>
      <c r="C45" s="26" t="inlineStr">
        <is>
          <t>ULSD No 2</t>
        </is>
      </c>
      <c r="D45" s="27" t="inlineStr">
        <is>
          <t>LF_003</t>
        </is>
      </c>
      <c r="E45" s="24" t="n">
        <v>1</v>
      </c>
      <c r="F45" s="22" t="inlineStr">
        <is>
          <t>SUM</t>
        </is>
      </c>
      <c r="G45" s="23" t="inlineStr">
        <is>
          <t>AVERAGE</t>
        </is>
      </c>
      <c r="H45" s="22" t="inlineStr">
        <is>
          <t>SUM</t>
        </is>
      </c>
      <c r="I45" s="22" t="inlineStr">
        <is>
          <t>SUM</t>
        </is>
      </c>
      <c r="J45" s="23" t="inlineStr">
        <is>
          <t>AVERAGE</t>
        </is>
      </c>
      <c r="K45" s="22" t="inlineStr">
        <is>
          <t>SUM</t>
        </is>
      </c>
      <c r="L45" s="22" t="inlineStr">
        <is>
          <t>SUM</t>
        </is>
      </c>
      <c r="M45" s="22" t="inlineStr">
        <is>
          <t>SUM</t>
        </is>
      </c>
      <c r="N45" s="22" t="inlineStr">
        <is>
          <t>SUM</t>
        </is>
      </c>
    </row>
    <row r="46" ht="30" customHeight="1">
      <c r="A46" s="18" t="n">
        <v>43</v>
      </c>
      <c r="B46" s="19" t="inlineStr">
        <is>
          <t>Acc_UnstnchdPropane</t>
        </is>
      </c>
      <c r="C46" s="20" t="inlineStr">
        <is>
          <t>Unstenched Propane</t>
        </is>
      </c>
      <c r="D46" s="21" t="inlineStr">
        <is>
          <t>TK274, TK275, TK276, TK301, TK302, TK303, TK325, TK326, TK327, TK340, TK341, TK342, TK343, TK354</t>
        </is>
      </c>
      <c r="E46" s="18" t="n">
        <v>14</v>
      </c>
      <c r="F46" s="22" t="inlineStr">
        <is>
          <t>SUM</t>
        </is>
      </c>
      <c r="G46" s="23" t="inlineStr">
        <is>
          <t>AVERAGE</t>
        </is>
      </c>
      <c r="H46" s="22" t="inlineStr">
        <is>
          <t>SUM</t>
        </is>
      </c>
      <c r="I46" s="22" t="inlineStr">
        <is>
          <t>SUM</t>
        </is>
      </c>
      <c r="J46" s="23" t="inlineStr">
        <is>
          <t>AVERAGE</t>
        </is>
      </c>
      <c r="K46" s="22" t="inlineStr">
        <is>
          <t>SUM</t>
        </is>
      </c>
      <c r="L46" s="22" t="inlineStr">
        <is>
          <t>SUM</t>
        </is>
      </c>
      <c r="M46" s="22" t="inlineStr">
        <is>
          <t>SUM</t>
        </is>
      </c>
      <c r="N46" s="22" t="inlineStr">
        <is>
          <t>SUM</t>
        </is>
      </c>
    </row>
    <row r="47" ht="30" customHeight="1">
      <c r="A47" s="24" t="n">
        <v>44</v>
      </c>
      <c r="B47" s="25" t="inlineStr">
        <is>
          <t>H20</t>
        </is>
      </c>
      <c r="C47" s="26" t="inlineStr">
        <is>
          <t>Water</t>
        </is>
      </c>
      <c r="D47" s="27" t="inlineStr">
        <is>
          <t>TK83</t>
        </is>
      </c>
      <c r="E47" s="24" t="n">
        <v>1</v>
      </c>
      <c r="F47" s="22" t="inlineStr">
        <is>
          <t>SUM</t>
        </is>
      </c>
      <c r="G47" s="23" t="inlineStr">
        <is>
          <t>AVERAGE</t>
        </is>
      </c>
      <c r="H47" s="22" t="inlineStr">
        <is>
          <t>SUM</t>
        </is>
      </c>
      <c r="I47" s="22" t="inlineStr">
        <is>
          <t>SUM</t>
        </is>
      </c>
      <c r="J47" s="23" t="inlineStr">
        <is>
          <t>AVERAGE</t>
        </is>
      </c>
      <c r="K47" s="22" t="inlineStr">
        <is>
          <t>SUM</t>
        </is>
      </c>
      <c r="L47" s="22" t="inlineStr">
        <is>
          <t>SUM</t>
        </is>
      </c>
      <c r="M47" s="22" t="inlineStr">
        <is>
          <t>SUM</t>
        </is>
      </c>
      <c r="N47" s="22" t="inlineStr">
        <is>
          <t>SUM</t>
        </is>
      </c>
    </row>
    <row r="48" ht="30" customHeight="1">
      <c r="A48" s="18" t="n">
        <v>45</v>
      </c>
      <c r="B48" s="19" t="inlineStr">
        <is>
          <t>OOS</t>
        </is>
      </c>
      <c r="C48" s="20" t="inlineStr">
        <is>
          <t>Out of Service (Group 2)</t>
        </is>
      </c>
      <c r="D48" s="21" t="inlineStr">
        <is>
          <t>TK153, TK774, TK775</t>
        </is>
      </c>
      <c r="E48" s="18" t="n">
        <v>3</v>
      </c>
      <c r="F48" s="22" t="inlineStr">
        <is>
          <t>SUM</t>
        </is>
      </c>
      <c r="G48" s="23" t="inlineStr">
        <is>
          <t>AVERAGE</t>
        </is>
      </c>
      <c r="H48" s="22" t="inlineStr">
        <is>
          <t>SUM</t>
        </is>
      </c>
      <c r="I48" s="22" t="inlineStr">
        <is>
          <t>SUM</t>
        </is>
      </c>
      <c r="J48" s="23" t="inlineStr">
        <is>
          <t>AVERAGE</t>
        </is>
      </c>
      <c r="K48" s="22" t="inlineStr">
        <is>
          <t>SUM</t>
        </is>
      </c>
      <c r="L48" s="22" t="inlineStr">
        <is>
          <t>SUM</t>
        </is>
      </c>
      <c r="M48" s="22" t="inlineStr">
        <is>
          <t>SUM</t>
        </is>
      </c>
      <c r="N48" s="22" t="inlineStr">
        <is>
          <t>SUM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4" customWidth="1" min="3" max="3"/>
    <col width="38" customWidth="1" min="4" max="4"/>
    <col width="36" customWidth="1" min="5" max="5"/>
    <col width="40" customWidth="1" min="6" max="6"/>
    <col width="18" customWidth="1" min="7" max="7"/>
  </cols>
  <sheetData>
    <row r="1" ht="30" customHeight="1">
      <c r="A1" s="28" t="inlineStr">
        <is>
          <t>FORMULA REFERENCE — How Each KPI is Calculated in the Total Row</t>
        </is>
      </c>
    </row>
    <row r="2" ht="22" customHeight="1">
      <c r="A2" s="29" t="inlineStr">
        <is>
          <t>KPI Name</t>
        </is>
      </c>
      <c r="B2" s="29" t="inlineStr">
        <is>
          <t>Column</t>
        </is>
      </c>
      <c r="C2" s="29" t="inlineStr">
        <is>
          <t>Formula Type</t>
        </is>
      </c>
      <c r="D2" s="29" t="inlineStr">
        <is>
          <t>Formula Written in Excel</t>
        </is>
      </c>
      <c r="E2" s="29" t="inlineStr">
        <is>
          <t>What It Means</t>
        </is>
      </c>
      <c r="F2" s="29" t="inlineStr">
        <is>
          <t>Example (2 tanks)</t>
        </is>
      </c>
      <c r="G2" s="29" t="inlineStr">
        <is>
          <t>Applies To</t>
        </is>
      </c>
    </row>
    <row r="3" ht="22" customHeight="1">
      <c r="A3" s="10" t="inlineStr">
        <is>
          <t>Opening Net Volume (BBLs)</t>
        </is>
      </c>
      <c r="B3" s="9" t="inlineStr">
        <is>
          <t>E</t>
        </is>
      </c>
      <c r="C3" s="9" t="inlineStr">
        <is>
          <t>SUM</t>
        </is>
      </c>
      <c r="D3" s="30">
        <f>E[tank_row1]+E[tank_row2]+...+E[tank_rowN]</f>
        <v/>
      </c>
      <c r="E3" s="30" t="inlineStr">
        <is>
          <t>Sum of all tanks' opening barrels</t>
        </is>
      </c>
      <c r="F3" s="30">
        <f>E10+E11</f>
        <v/>
      </c>
      <c r="G3" s="10" t="inlineStr">
        <is>
          <t>All 45 groups</t>
        </is>
      </c>
    </row>
    <row r="4" ht="22" customHeight="1">
      <c r="A4" s="12" t="inlineStr">
        <is>
          <t>Opening Gravity</t>
        </is>
      </c>
      <c r="B4" s="11" t="inlineStr">
        <is>
          <t>F</t>
        </is>
      </c>
      <c r="C4" s="11" t="inlineStr">
        <is>
          <t>AVERAGE</t>
        </is>
      </c>
      <c r="D4" s="31">
        <f>AVERAGE(F[tank_row1],F[tank_row2],...)</f>
        <v/>
      </c>
      <c r="E4" s="31" t="inlineStr">
        <is>
          <t>Average API gravity at open across tanks</t>
        </is>
      </c>
      <c r="F4" s="31">
        <f>AVERAGE(F10,F11)</f>
        <v/>
      </c>
      <c r="G4" s="12" t="inlineStr">
        <is>
          <t>All 45 groups</t>
        </is>
      </c>
    </row>
    <row r="5" ht="22" customHeight="1">
      <c r="A5" s="10" t="inlineStr">
        <is>
          <t>Closing Net Volume (BBLs)</t>
        </is>
      </c>
      <c r="B5" s="9" t="inlineStr">
        <is>
          <t>G</t>
        </is>
      </c>
      <c r="C5" s="9" t="inlineStr">
        <is>
          <t>SUM</t>
        </is>
      </c>
      <c r="D5" s="30">
        <f>G[tank_row1]+G[tank_row2]+...+G[tank_rowN]</f>
        <v/>
      </c>
      <c r="E5" s="30" t="inlineStr">
        <is>
          <t>Sum of all tanks' closing barrels</t>
        </is>
      </c>
      <c r="F5" s="30">
        <f>G10+G11</f>
        <v/>
      </c>
      <c r="G5" s="10" t="inlineStr">
        <is>
          <t>All 45 groups</t>
        </is>
      </c>
    </row>
    <row r="6" ht="22" customHeight="1">
      <c r="A6" s="10" t="inlineStr">
        <is>
          <t>Closing Gross Volume (BBLs)</t>
        </is>
      </c>
      <c r="B6" s="9" t="inlineStr">
        <is>
          <t>H</t>
        </is>
      </c>
      <c r="C6" s="9" t="inlineStr">
        <is>
          <t>SUM</t>
        </is>
      </c>
      <c r="D6" s="30">
        <f>H[tank_row1]+H[tank_row2]+...+H[tank_rowN]</f>
        <v/>
      </c>
      <c r="E6" s="30" t="inlineStr">
        <is>
          <t>Sum of gross volumes (incl. sediment/water)</t>
        </is>
      </c>
      <c r="F6" s="30">
        <f>H10+H11</f>
        <v/>
      </c>
      <c r="G6" s="10" t="inlineStr">
        <is>
          <t>All 45 groups</t>
        </is>
      </c>
    </row>
    <row r="7" ht="22" customHeight="1">
      <c r="A7" s="14" t="inlineStr">
        <is>
          <t>Level Feet</t>
        </is>
      </c>
      <c r="B7" s="13" t="inlineStr">
        <is>
          <t>I</t>
        </is>
      </c>
      <c r="C7" s="13" t="inlineStr">
        <is>
          <t>Raw Data</t>
        </is>
      </c>
      <c r="D7" s="32" t="inlineStr">
        <is>
          <t>N/A — No formula used in Total row</t>
        </is>
      </c>
      <c r="E7" s="32" t="inlineStr">
        <is>
          <t>Raw gauge reading per tank; not aggregated</t>
        </is>
      </c>
      <c r="F7" s="32" t="inlineStr">
        <is>
          <t>No formula</t>
        </is>
      </c>
      <c r="G7" s="14" t="inlineStr">
        <is>
          <t>Tank level only</t>
        </is>
      </c>
    </row>
    <row r="8" ht="22" customHeight="1">
      <c r="A8" s="12" t="inlineStr">
        <is>
          <t>Gravity (Closing)</t>
        </is>
      </c>
      <c r="B8" s="11" t="inlineStr">
        <is>
          <t>J</t>
        </is>
      </c>
      <c r="C8" s="11" t="inlineStr">
        <is>
          <t>AVERAGE</t>
        </is>
      </c>
      <c r="D8" s="31">
        <f>AVERAGE(J[tank_row1],J[tank_row2],...)</f>
        <v/>
      </c>
      <c r="E8" s="31" t="inlineStr">
        <is>
          <t>Average closing API gravity across tanks</t>
        </is>
      </c>
      <c r="F8" s="31">
        <f>AVERAGE(J10,J11)</f>
        <v/>
      </c>
      <c r="G8" s="12" t="inlineStr">
        <is>
          <t>All 45 groups</t>
        </is>
      </c>
    </row>
    <row r="9" ht="22" customHeight="1">
      <c r="A9" s="14" t="inlineStr">
        <is>
          <t>Temperature</t>
        </is>
      </c>
      <c r="B9" s="13" t="inlineStr">
        <is>
          <t>K</t>
        </is>
      </c>
      <c r="C9" s="13" t="inlineStr">
        <is>
          <t>Raw Data</t>
        </is>
      </c>
      <c r="D9" s="32" t="inlineStr">
        <is>
          <t>N/A — No formula used in Total row</t>
        </is>
      </c>
      <c r="E9" s="32" t="inlineStr">
        <is>
          <t>Raw temp reading per tank; not aggregated</t>
        </is>
      </c>
      <c r="F9" s="32" t="inlineStr">
        <is>
          <t>No formula</t>
        </is>
      </c>
      <c r="G9" s="14" t="inlineStr">
        <is>
          <t>Tank level only</t>
        </is>
      </c>
    </row>
    <row r="10" ht="22" customHeight="1">
      <c r="A10" s="10" t="inlineStr">
        <is>
          <t>Total Water</t>
        </is>
      </c>
      <c r="B10" s="9" t="inlineStr">
        <is>
          <t>L</t>
        </is>
      </c>
      <c r="C10" s="9" t="inlineStr">
        <is>
          <t>SUM</t>
        </is>
      </c>
      <c r="D10" s="30">
        <f>L[tank_row1]+L[tank_row2]+...+L[tank_rowN]</f>
        <v/>
      </c>
      <c r="E10" s="30" t="inlineStr">
        <is>
          <t>Total water barrels across all group tanks</t>
        </is>
      </c>
      <c r="F10" s="30">
        <f>L10+L11</f>
        <v/>
      </c>
      <c r="G10" s="10" t="inlineStr">
        <is>
          <t>All 45 groups</t>
        </is>
      </c>
    </row>
    <row r="11" ht="22" customHeight="1">
      <c r="A11" s="14" t="inlineStr">
        <is>
          <t>BSW Feet</t>
        </is>
      </c>
      <c r="B11" s="13" t="inlineStr">
        <is>
          <t>M</t>
        </is>
      </c>
      <c r="C11" s="13" t="inlineStr">
        <is>
          <t>Raw Data</t>
        </is>
      </c>
      <c r="D11" s="32" t="inlineStr">
        <is>
          <t>N/A — No formula used in Total row</t>
        </is>
      </c>
      <c r="E11" s="32" t="inlineStr">
        <is>
          <t>Basic Sediment &amp; Water level per tank</t>
        </is>
      </c>
      <c r="F11" s="32" t="inlineStr">
        <is>
          <t>No formula</t>
        </is>
      </c>
      <c r="G11" s="14" t="inlineStr">
        <is>
          <t>Tank level only</t>
        </is>
      </c>
    </row>
    <row r="12" ht="22" customHeight="1">
      <c r="A12" s="10" t="inlineStr">
        <is>
          <t>Volume of Available Product</t>
        </is>
      </c>
      <c r="B12" s="9" t="inlineStr">
        <is>
          <t>N</t>
        </is>
      </c>
      <c r="C12" s="9" t="inlineStr">
        <is>
          <t>SUM</t>
        </is>
      </c>
      <c r="D12" s="30">
        <f>N[tank_row1]+N[tank_row2]+...+N[tank_rowN]</f>
        <v/>
      </c>
      <c r="E12" s="30" t="inlineStr">
        <is>
          <t>Sum of usable product (Net Vol − Water)</t>
        </is>
      </c>
      <c r="F12" s="30">
        <f>N10+N11</f>
        <v/>
      </c>
      <c r="G12" s="10" t="inlineStr">
        <is>
          <t>All 45 groups</t>
        </is>
      </c>
    </row>
    <row r="13" ht="22" customHeight="1">
      <c r="A13" s="10" t="inlineStr">
        <is>
          <t>Remaining Capacity</t>
        </is>
      </c>
      <c r="B13" s="9" t="inlineStr">
        <is>
          <t>O</t>
        </is>
      </c>
      <c r="C13" s="9" t="inlineStr">
        <is>
          <t>SUM</t>
        </is>
      </c>
      <c r="D13" s="30">
        <f>O[tank_row1]+O[tank_row2]+...+O[tank_rowN]</f>
        <v/>
      </c>
      <c r="E13" s="30" t="inlineStr">
        <is>
          <t>Total unused space across the tank group</t>
        </is>
      </c>
      <c r="F13" s="30">
        <f>O10+O11</f>
        <v/>
      </c>
      <c r="G13" s="10" t="inlineStr">
        <is>
          <t>All 45 groups</t>
        </is>
      </c>
    </row>
    <row r="14" ht="22" customHeight="1">
      <c r="A14" s="10" t="inlineStr">
        <is>
          <t>Inventory Change Net Volume (BBLs)</t>
        </is>
      </c>
      <c r="B14" s="9" t="inlineStr">
        <is>
          <t>P</t>
        </is>
      </c>
      <c r="C14" s="9" t="inlineStr">
        <is>
          <t>SUM</t>
        </is>
      </c>
      <c r="D14" s="30">
        <f>P[tank_row1]+P[tank_row2]+...+P[tank_rowN]</f>
        <v/>
      </c>
      <c r="E14" s="30" t="inlineStr">
        <is>
          <t>Net change = Closing − Opening per group</t>
        </is>
      </c>
      <c r="F14" s="30">
        <f>P10+P11</f>
        <v/>
      </c>
      <c r="G14" s="10" t="inlineStr">
        <is>
          <t>All 45 groups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2026-05-28T10:01:05Z</dcterms:created>
  <dcterms:modified xsi:type="dcterms:W3CDTF">2026-05-28T10:01:06Z</dcterms:modified>
</cp:coreProperties>
</file>