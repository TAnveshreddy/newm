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ventory (Live Formulas)" sheetId="1" state="visible" r:id="rId1"/>
    <sheet name="KPI-Table-Formula Reference" sheetId="2" state="visible" r:id="rId2"/>
    <sheet name="Formula Pattern Guid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5">
    <font>
      <name val="Calibri"/>
      <family val="2"/>
      <color theme="1"/>
      <sz val="11"/>
      <scheme val="minor"/>
    </font>
    <font>
      <name val="Calibri"/>
      <b val="1"/>
      <color rgb="00FFFFFF"/>
      <sz val="13"/>
    </font>
    <font>
      <name val="Calibri"/>
      <b val="1"/>
      <color rgb="00FFFFFF"/>
      <sz val="9"/>
    </font>
    <font>
      <name val="Calibri"/>
      <b val="1"/>
      <color rgb="00FFFFFF"/>
      <sz val="10"/>
    </font>
    <font>
      <name val="Calibri"/>
      <color rgb="00000000"/>
      <sz val="10"/>
    </font>
    <font>
      <name val="Calibri"/>
      <b val="1"/>
      <color rgb="00000000"/>
      <sz val="10"/>
    </font>
    <font>
      <name val="Calibri"/>
      <sz val="9"/>
    </font>
    <font>
      <name val="Courier New"/>
      <b val="1"/>
      <color rgb="00FFFFFF"/>
      <sz val="9"/>
    </font>
    <font>
      <name val="Courier New"/>
      <b val="1"/>
      <color rgb="00888888"/>
      <sz val="9"/>
    </font>
    <font>
      <name val="Calibri"/>
      <b val="1"/>
      <color rgb="00FFFFFF"/>
      <sz val="12"/>
    </font>
    <font>
      <name val="Calibri"/>
      <i val="1"/>
      <color rgb="00333333"/>
      <sz val="9"/>
    </font>
    <font>
      <name val="Courier New"/>
      <b val="1"/>
      <color rgb="001F3864"/>
      <sz val="9"/>
    </font>
    <font>
      <name val="Courier New"/>
      <b val="1"/>
      <i val="1"/>
      <color rgb="00888888"/>
      <sz val="9"/>
    </font>
    <font>
      <name val="Courier New"/>
      <b val="1"/>
      <color rgb="001F3864"/>
      <sz val="10"/>
    </font>
    <font>
      <name val="Courier New"/>
      <i val="1"/>
      <color rgb="00888888"/>
      <sz val="10"/>
    </font>
  </fonts>
  <fills count="13">
    <fill>
      <patternFill/>
    </fill>
    <fill>
      <patternFill patternType="gray125"/>
    </fill>
    <fill>
      <patternFill patternType="solid">
        <fgColor rgb="00003366"/>
      </patternFill>
    </fill>
    <fill>
      <patternFill patternType="solid">
        <fgColor rgb="002E75B6"/>
      </patternFill>
    </fill>
    <fill>
      <patternFill patternType="solid">
        <fgColor rgb="001F5C99"/>
      </patternFill>
    </fill>
    <fill>
      <patternFill patternType="solid">
        <fgColor rgb="00FFFFFF"/>
      </patternFill>
    </fill>
    <fill>
      <patternFill patternType="solid">
        <fgColor rgb="00EBF3FB"/>
      </patternFill>
    </fill>
    <fill>
      <patternFill patternType="solid">
        <fgColor rgb="001F3864"/>
      </patternFill>
    </fill>
    <fill>
      <patternFill patternType="solid">
        <fgColor rgb="00F2F2F2"/>
      </patternFill>
    </fill>
    <fill>
      <patternFill patternType="solid">
        <fgColor rgb="00F5F5F5"/>
      </patternFill>
    </fill>
    <fill>
      <patternFill patternType="solid">
        <fgColor rgb="00F0F7FF"/>
      </patternFill>
    </fill>
    <fill>
      <patternFill patternType="solid">
        <fgColor rgb="00E2EFDA"/>
      </patternFill>
    </fill>
    <fill>
      <patternFill patternType="solid">
        <fgColor rgb="00FFF2CC"/>
      </patternFill>
    </fill>
  </fills>
  <borders count="3">
    <border>
      <left/>
      <right/>
      <top/>
      <bottom/>
      <diagonal/>
    </border>
    <border>
      <left style="thin">
        <color rgb="00BBBBBB"/>
      </left>
      <right style="thin">
        <color rgb="00BBBBBB"/>
      </right>
      <top style="thin">
        <color rgb="00BBBBBB"/>
      </top>
      <bottom style="thin">
        <color rgb="00BBBBBB"/>
      </bottom>
    </border>
    <border>
      <left style="thin">
        <color rgb="00BBBBBB"/>
      </left>
      <right style="thin">
        <color rgb="00BBBBBB"/>
      </right>
      <top style="medium">
        <color rgb="001F3864"/>
      </top>
      <bottom style="medium">
        <color rgb="001F3864"/>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center" indent="1"/>
    </xf>
    <xf numFmtId="0" fontId="4" fillId="5" borderId="1" applyAlignment="1" pivotButton="0" quotePrefix="0" xfId="0">
      <alignment horizontal="left" vertical="center"/>
    </xf>
    <xf numFmtId="0" fontId="5" fillId="5" borderId="1" applyAlignment="1" pivotButton="0" quotePrefix="0" xfId="0">
      <alignment horizontal="left" vertical="center"/>
    </xf>
    <xf numFmtId="0" fontId="4" fillId="5" borderId="1" applyAlignment="1" pivotButton="0" quotePrefix="0" xfId="0">
      <alignment horizontal="left" vertical="center" wrapText="1"/>
    </xf>
    <xf numFmtId="0" fontId="5" fillId="5" borderId="1" applyAlignment="1" pivotButton="0" quotePrefix="0" xfId="0">
      <alignment horizontal="center" vertical="center"/>
    </xf>
    <xf numFmtId="0" fontId="6" fillId="5" borderId="1" applyAlignment="1" pivotButton="0" quotePrefix="0" xfId="0">
      <alignment horizontal="right" vertical="center"/>
    </xf>
    <xf numFmtId="164" fontId="6" fillId="5" borderId="1" applyAlignment="1" pivotButton="0" quotePrefix="0" xfId="0">
      <alignment horizontal="right" vertical="center"/>
    </xf>
    <xf numFmtId="0" fontId="4" fillId="6" borderId="1" applyAlignment="1" pivotButton="0" quotePrefix="0" xfId="0">
      <alignment horizontal="left" vertical="center"/>
    </xf>
    <xf numFmtId="0" fontId="4" fillId="6" borderId="1" applyAlignment="1" pivotButton="0" quotePrefix="0" xfId="0">
      <alignment horizontal="left" vertical="center" wrapText="1"/>
    </xf>
    <xf numFmtId="0" fontId="5" fillId="6" borderId="1" applyAlignment="1" pivotButton="0" quotePrefix="0" xfId="0">
      <alignment horizontal="center" vertical="center"/>
    </xf>
    <xf numFmtId="164" fontId="6" fillId="6" borderId="1" applyAlignment="1" pivotButton="0" quotePrefix="0" xfId="0">
      <alignment horizontal="right" vertical="center"/>
    </xf>
    <xf numFmtId="0" fontId="4" fillId="7" borderId="1" applyAlignment="1" pivotButton="0" quotePrefix="0" xfId="0">
      <alignment horizontal="left" vertical="center"/>
    </xf>
    <xf numFmtId="0" fontId="3" fillId="7" borderId="1" applyAlignment="1" pivotButton="0" quotePrefix="0" xfId="0">
      <alignment horizontal="left" vertical="center"/>
    </xf>
    <xf numFmtId="0" fontId="3" fillId="7" borderId="1" applyAlignment="1" pivotButton="0" quotePrefix="0" xfId="0">
      <alignment horizontal="left" vertical="center" wrapText="1"/>
    </xf>
    <xf numFmtId="0" fontId="3" fillId="7" borderId="2" applyAlignment="1" pivotButton="0" quotePrefix="0" xfId="0">
      <alignment horizontal="center" vertical="center"/>
    </xf>
    <xf numFmtId="164" fontId="7" fillId="7" borderId="2" applyAlignment="1" pivotButton="0" quotePrefix="0" xfId="0">
      <alignment horizontal="left" vertical="center" wrapText="1"/>
    </xf>
    <xf numFmtId="0" fontId="8" fillId="8" borderId="2" applyAlignment="1" pivotButton="0" quotePrefix="0" xfId="0">
      <alignment horizontal="left" vertical="center" wrapText="1"/>
    </xf>
    <xf numFmtId="0" fontId="6" fillId="6" borderId="1" applyAlignment="1" pivotButton="0" quotePrefix="0" xfId="0">
      <alignment horizontal="right" vertical="center"/>
    </xf>
    <xf numFmtId="0" fontId="9" fillId="2" borderId="0" applyAlignment="1" pivotButton="0" quotePrefix="0" xfId="0">
      <alignment horizontal="center" vertical="center"/>
    </xf>
    <xf numFmtId="0" fontId="10" fillId="9" borderId="0" applyAlignment="1" pivotButton="0" quotePrefix="0" xfId="0">
      <alignment horizontal="left" vertical="center"/>
    </xf>
    <xf numFmtId="0" fontId="5" fillId="10" borderId="1" applyAlignment="1" pivotButton="0" quotePrefix="0" xfId="0">
      <alignment horizontal="center" vertical="center"/>
    </xf>
    <xf numFmtId="0" fontId="5" fillId="10" borderId="1" applyAlignment="1" pivotButton="0" quotePrefix="0" xfId="0">
      <alignment horizontal="left" vertical="center"/>
    </xf>
    <xf numFmtId="0" fontId="4" fillId="10" borderId="1" applyAlignment="1" pivotButton="0" quotePrefix="0" xfId="0">
      <alignment horizontal="left" vertical="center" wrapText="1"/>
    </xf>
    <xf numFmtId="164" fontId="11" fillId="11" borderId="1" applyAlignment="1" pivotButton="0" quotePrefix="0" xfId="0">
      <alignment horizontal="left" vertical="center" wrapText="1"/>
    </xf>
    <xf numFmtId="0" fontId="5" fillId="11" borderId="1" applyAlignment="1" pivotButton="0" quotePrefix="0" xfId="0">
      <alignment horizontal="center" vertical="center"/>
    </xf>
    <xf numFmtId="0" fontId="4" fillId="10" borderId="1" applyAlignment="1" pivotButton="0" quotePrefix="0" xfId="0">
      <alignment horizontal="center" vertical="center"/>
    </xf>
    <xf numFmtId="0" fontId="4" fillId="10" borderId="1" applyAlignment="1" pivotButton="0" quotePrefix="0" xfId="0">
      <alignment horizontal="left" vertical="center"/>
    </xf>
    <xf numFmtId="164" fontId="11" fillId="12" borderId="1" applyAlignment="1" pivotButton="0" quotePrefix="0" xfId="0">
      <alignment horizontal="left" vertical="center" wrapText="1"/>
    </xf>
    <xf numFmtId="0" fontId="5" fillId="12" borderId="1" applyAlignment="1" pivotButton="0" quotePrefix="0" xfId="0">
      <alignment horizontal="center" vertical="center"/>
    </xf>
    <xf numFmtId="0" fontId="12" fillId="8" borderId="1" applyAlignment="1" pivotButton="0" quotePrefix="0" xfId="0">
      <alignment horizontal="left" vertical="center" wrapText="1"/>
    </xf>
    <xf numFmtId="0" fontId="5" fillId="8" borderId="1" applyAlignment="1" pivotButton="0" quotePrefix="0" xfId="0">
      <alignment horizontal="center" vertical="center"/>
    </xf>
    <xf numFmtId="0" fontId="4" fillId="5" borderId="1" applyAlignment="1" pivotButton="0" quotePrefix="0" xfId="0">
      <alignment horizontal="center" vertical="center"/>
    </xf>
    <xf numFmtId="0" fontId="5" fillId="11" borderId="1" applyAlignment="1" pivotButton="0" quotePrefix="0" xfId="0">
      <alignment horizontal="left" vertical="center"/>
    </xf>
    <xf numFmtId="0" fontId="13" fillId="11" borderId="1" applyAlignment="1" pivotButton="0" quotePrefix="0" xfId="0">
      <alignment horizontal="left" vertical="center"/>
    </xf>
    <xf numFmtId="0" fontId="5" fillId="12" borderId="1" applyAlignment="1" pivotButton="0" quotePrefix="0" xfId="0">
      <alignment horizontal="left" vertical="center"/>
    </xf>
    <xf numFmtId="0" fontId="13" fillId="12" borderId="1" applyAlignment="1" pivotButton="0" quotePrefix="0" xfId="0">
      <alignment horizontal="left" vertical="center"/>
    </xf>
    <xf numFmtId="0" fontId="5" fillId="8" borderId="1" applyAlignment="1" pivotButton="0" quotePrefix="0" xfId="0">
      <alignment horizontal="left" vertical="center"/>
    </xf>
    <xf numFmtId="0" fontId="14"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0"/>
  <sheetViews>
    <sheetView showGridLines="0" workbookViewId="0">
      <pane ySplit="2" topLeftCell="A3" activePane="bottomLeft" state="frozen"/>
      <selection pane="bottomLeft" activeCell="A1" sqref="A1"/>
    </sheetView>
  </sheetViews>
  <sheetFormatPr baseColWidth="8" defaultRowHeight="15"/>
  <cols>
    <col width="5" customWidth="1" min="1" max="1"/>
    <col width="26" customWidth="1" min="2" max="2"/>
    <col width="36" customWidth="1" min="3" max="3"/>
    <col width="10" customWidth="1" min="4" max="4"/>
    <col width="16" customWidth="1" min="5" max="5"/>
    <col width="14" customWidth="1" min="6" max="6"/>
    <col width="16" customWidth="1" min="7" max="7"/>
    <col width="16" customWidth="1" min="8" max="8"/>
    <col width="10" customWidth="1" min="9" max="9"/>
    <col width="12" customWidth="1" min="10" max="10"/>
    <col width="12" customWidth="1" min="11" max="11"/>
    <col width="12" customWidth="1" min="12" max="12"/>
    <col width="10" customWidth="1" min="13" max="13"/>
    <col width="18" customWidth="1" min="14" max="14"/>
    <col width="18" customWidth="1" min="15" max="15"/>
    <col width="20" customWidth="1" min="16" max="16"/>
  </cols>
  <sheetData>
    <row r="1" ht="30" customHeight="1">
      <c r="A1" s="1" t="inlineStr">
        <is>
          <t>CARSON DAILY INVENTORY REPORT  —  MPC Carson Refinery  |  AORA Mass Balance System  |  Unit: Barrels</t>
        </is>
      </c>
    </row>
    <row r="2" ht="40" customHeight="1">
      <c r="A2" s="2" t="inlineStr">
        <is>
          <t>#</t>
        </is>
      </c>
      <c r="B2" s="2" t="inlineStr">
        <is>
          <t>SAP Code
(Table Name)</t>
        </is>
      </c>
      <c r="C2" s="2" t="inlineStr">
        <is>
          <t>Full Product Name</t>
        </is>
      </c>
      <c r="D2" s="2" t="inlineStr">
        <is>
          <t>Tank</t>
        </is>
      </c>
      <c r="E2" s="2" t="inlineStr">
        <is>
          <t>Opening Net
Volume (BBLs)</t>
        </is>
      </c>
      <c r="F2" s="2" t="inlineStr">
        <is>
          <t>Opening
Gravity</t>
        </is>
      </c>
      <c r="G2" s="2" t="inlineStr">
        <is>
          <t>Closing Net
Volume (BBLs)</t>
        </is>
      </c>
      <c r="H2" s="2" t="inlineStr">
        <is>
          <t>Closing Gross
Volume (BBLs)</t>
        </is>
      </c>
      <c r="I2" s="2" t="inlineStr">
        <is>
          <t>Level
Feet</t>
        </is>
      </c>
      <c r="J2" s="2" t="inlineStr">
        <is>
          <t>Gravity
(Closing)</t>
        </is>
      </c>
      <c r="K2" s="2" t="inlineStr">
        <is>
          <t>Temperature</t>
        </is>
      </c>
      <c r="L2" s="2" t="inlineStr">
        <is>
          <t>Total Water
(BBLs)</t>
        </is>
      </c>
      <c r="M2" s="2" t="inlineStr">
        <is>
          <t>BSW
Feet</t>
        </is>
      </c>
      <c r="N2" s="2" t="inlineStr">
        <is>
          <t>Volume of
Available Product</t>
        </is>
      </c>
      <c r="O2" s="2" t="inlineStr">
        <is>
          <t>Remaining
Capacity</t>
        </is>
      </c>
      <c r="P2" s="2" t="inlineStr">
        <is>
          <t>Inventory Change
Net Vol (BBLs)</t>
        </is>
      </c>
    </row>
    <row r="3" ht="20" customHeight="1">
      <c r="A3" s="3" t="inlineStr">
        <is>
          <t>1.  Acc_84Blendgrade  —  84 Blendgrade</t>
        </is>
      </c>
    </row>
    <row r="4" ht="18" customHeight="1">
      <c r="A4" s="4" t="inlineStr"/>
      <c r="B4" s="5" t="inlineStr">
        <is>
          <t>Acc_84Blendgrade</t>
        </is>
      </c>
      <c r="C4" s="6" t="inlineStr">
        <is>
          <t>84 Blendgrade</t>
        </is>
      </c>
      <c r="D4" s="7" t="inlineStr">
        <is>
          <t>LF_001</t>
        </is>
      </c>
      <c r="E4" s="8" t="n">
        <v>31000</v>
      </c>
      <c r="F4" s="9" t="n">
        <v>57.2</v>
      </c>
      <c r="G4" s="8" t="n">
        <v>31000</v>
      </c>
      <c r="H4" s="8" t="n">
        <v>31000</v>
      </c>
      <c r="I4" s="8" t="n">
        <v>0</v>
      </c>
      <c r="J4" s="9" t="n">
        <v>57.2</v>
      </c>
      <c r="K4" s="8" t="n">
        <v>60</v>
      </c>
      <c r="L4" s="8" t="n">
        <v>0</v>
      </c>
      <c r="M4" s="8" t="n">
        <v>0</v>
      </c>
      <c r="N4" s="8" t="n">
        <v>31000</v>
      </c>
      <c r="O4" s="8" t="n">
        <v>369000</v>
      </c>
      <c r="P4" s="8" t="n">
        <v>0</v>
      </c>
    </row>
    <row r="5" ht="18" customHeight="1">
      <c r="A5" s="10" t="inlineStr"/>
      <c r="B5" s="10" t="inlineStr"/>
      <c r="C5" s="11" t="inlineStr"/>
      <c r="D5" s="12" t="inlineStr">
        <is>
          <t>TK51</t>
        </is>
      </c>
      <c r="E5" s="13" t="n">
        <v>58320.656</v>
      </c>
      <c r="F5" s="13" t="n">
        <v>60.74</v>
      </c>
      <c r="G5" s="13" t="n">
        <v>58172.037</v>
      </c>
      <c r="H5" s="13" t="n">
        <v>58244.26</v>
      </c>
      <c r="I5" s="13" t="n">
        <v>23.688</v>
      </c>
      <c r="J5" s="13" t="n">
        <v>60.74</v>
      </c>
      <c r="K5" s="13" t="n">
        <v>61.8</v>
      </c>
      <c r="L5" s="13" t="n">
        <v>114.756</v>
      </c>
      <c r="M5" s="13" t="n">
        <v>0.083</v>
      </c>
      <c r="N5" s="13" t="n">
        <v>58172.037</v>
      </c>
      <c r="O5" s="13" t="n">
        <v>341827.963</v>
      </c>
      <c r="P5" s="13" t="n">
        <v>-148.619</v>
      </c>
    </row>
    <row r="6" ht="20" customHeight="1">
      <c r="A6" s="14" t="inlineStr"/>
      <c r="B6" s="15" t="inlineStr">
        <is>
          <t>Acc_84Blendgrade</t>
        </is>
      </c>
      <c r="C6" s="16" t="inlineStr">
        <is>
          <t>84 Blendgrade</t>
        </is>
      </c>
      <c r="D6" s="17" t="inlineStr">
        <is>
          <t>Total</t>
        </is>
      </c>
      <c r="E6" s="18">
        <f>E4+E5</f>
        <v/>
      </c>
      <c r="F6" s="18">
        <f>AVERAGE(F4,F5)</f>
        <v/>
      </c>
      <c r="G6" s="18">
        <f>G4+G5</f>
        <v/>
      </c>
      <c r="H6" s="18">
        <f>H4+H5</f>
        <v/>
      </c>
      <c r="I6" s="19" t="inlineStr"/>
      <c r="J6" s="18">
        <f>AVERAGE(J4,J5)</f>
        <v/>
      </c>
      <c r="K6" s="19" t="inlineStr"/>
      <c r="L6" s="18">
        <f>L4+L5</f>
        <v/>
      </c>
      <c r="M6" s="19" t="inlineStr"/>
      <c r="N6" s="18">
        <f>N4+N5</f>
        <v/>
      </c>
      <c r="O6" s="18">
        <f>O4+O5</f>
        <v/>
      </c>
      <c r="P6" s="18">
        <f>P4+P5</f>
        <v/>
      </c>
    </row>
    <row r="7" ht="20" customHeight="1">
      <c r="A7" s="3" t="inlineStr">
        <is>
          <t>2.  Acc_84RegSuboctane  —  84 Regular Suboctane CBG AZ</t>
        </is>
      </c>
    </row>
    <row r="8" ht="18" customHeight="1">
      <c r="A8" s="4" t="inlineStr"/>
      <c r="B8" s="5" t="inlineStr">
        <is>
          <t>Acc_84RegSuboctane</t>
        </is>
      </c>
      <c r="C8" s="6" t="inlineStr">
        <is>
          <t>84 Regular Suboctane CBG AZ</t>
        </is>
      </c>
      <c r="D8" s="7" t="inlineStr">
        <is>
          <t>TK53</t>
        </is>
      </c>
      <c r="E8" s="9" t="n">
        <v>19852.175</v>
      </c>
      <c r="F8" s="9" t="n">
        <v>62.802</v>
      </c>
      <c r="G8" s="9" t="n">
        <v>22670.985</v>
      </c>
      <c r="H8" s="9" t="n">
        <v>22639.29</v>
      </c>
      <c r="I8" s="9" t="n">
        <v>9.698</v>
      </c>
      <c r="J8" s="9" t="n">
        <v>62.861</v>
      </c>
      <c r="K8" s="8" t="n">
        <v>58</v>
      </c>
      <c r="L8" s="8" t="n">
        <v>0</v>
      </c>
      <c r="M8" s="8" t="n">
        <v>0</v>
      </c>
      <c r="N8" s="9" t="n">
        <v>22670.985</v>
      </c>
      <c r="O8" s="9" t="n">
        <v>377329.015</v>
      </c>
      <c r="P8" s="9" t="n">
        <v>2818.81</v>
      </c>
    </row>
    <row r="9" ht="20" customHeight="1">
      <c r="A9" s="14" t="inlineStr"/>
      <c r="B9" s="15" t="inlineStr">
        <is>
          <t>Acc_84RegSuboctane</t>
        </is>
      </c>
      <c r="C9" s="16" t="inlineStr">
        <is>
          <t>84 Regular Suboctane CBG AZ</t>
        </is>
      </c>
      <c r="D9" s="17" t="inlineStr">
        <is>
          <t>Total</t>
        </is>
      </c>
      <c r="E9" s="18">
        <f>E8</f>
        <v/>
      </c>
      <c r="F9" s="18">
        <f>AVERAGE(F8)</f>
        <v/>
      </c>
      <c r="G9" s="18">
        <f>G8</f>
        <v/>
      </c>
      <c r="H9" s="18">
        <f>H8</f>
        <v/>
      </c>
      <c r="I9" s="19" t="inlineStr"/>
      <c r="J9" s="18">
        <f>AVERAGE(J8)</f>
        <v/>
      </c>
      <c r="K9" s="19" t="inlineStr"/>
      <c r="L9" s="18">
        <f>L8</f>
        <v/>
      </c>
      <c r="M9" s="19" t="inlineStr"/>
      <c r="N9" s="18">
        <f>N8</f>
        <v/>
      </c>
      <c r="O9" s="18">
        <f>O8</f>
        <v/>
      </c>
      <c r="P9" s="18">
        <f>P8</f>
        <v/>
      </c>
    </row>
    <row r="10" ht="20" customHeight="1">
      <c r="A10" s="3" t="inlineStr">
        <is>
          <t>3.  Acc_84RegularCARBOB  —  84 Regular CARBOB</t>
        </is>
      </c>
    </row>
    <row r="11" ht="18" customHeight="1">
      <c r="A11" s="4" t="inlineStr"/>
      <c r="B11" s="5" t="inlineStr">
        <is>
          <t>Acc_84RegularCARBOB</t>
        </is>
      </c>
      <c r="C11" s="6" t="inlineStr">
        <is>
          <t>84 Regular CARBOB</t>
        </is>
      </c>
      <c r="D11" s="7" t="inlineStr">
        <is>
          <t>TK41</t>
        </is>
      </c>
      <c r="E11" s="9" t="n">
        <v>20162.021</v>
      </c>
      <c r="F11" s="9" t="n">
        <v>63.63</v>
      </c>
      <c r="G11" s="9" t="n">
        <v>35374.237</v>
      </c>
      <c r="H11" s="9" t="n">
        <v>35630.42</v>
      </c>
      <c r="I11" s="8" t="n">
        <v>15</v>
      </c>
      <c r="J11" s="9" t="n">
        <v>63.63</v>
      </c>
      <c r="K11" s="9" t="n">
        <v>70.2</v>
      </c>
      <c r="L11" s="8" t="n">
        <v>0</v>
      </c>
      <c r="M11" s="8" t="n">
        <v>0</v>
      </c>
      <c r="N11" s="9" t="n">
        <v>35374.237</v>
      </c>
      <c r="O11" s="9" t="n">
        <v>364625.763</v>
      </c>
      <c r="P11" s="9" t="n">
        <v>15212.216</v>
      </c>
    </row>
    <row r="12" ht="18" customHeight="1">
      <c r="A12" s="10" t="inlineStr"/>
      <c r="B12" s="10" t="inlineStr"/>
      <c r="C12" s="11" t="inlineStr"/>
      <c r="D12" s="12" t="inlineStr">
        <is>
          <t>TK50</t>
        </is>
      </c>
      <c r="E12" s="13" t="n">
        <v>69258.132</v>
      </c>
      <c r="F12" s="13" t="n">
        <v>62.529</v>
      </c>
      <c r="G12" s="13" t="n">
        <v>46977.937</v>
      </c>
      <c r="H12" s="13" t="n">
        <v>47242.02</v>
      </c>
      <c r="I12" s="13" t="n">
        <v>19.448</v>
      </c>
      <c r="J12" s="13" t="n">
        <v>62.663</v>
      </c>
      <c r="K12" s="20" t="n">
        <v>68</v>
      </c>
      <c r="L12" s="20" t="n">
        <v>0</v>
      </c>
      <c r="M12" s="20" t="n">
        <v>0</v>
      </c>
      <c r="N12" s="13" t="n">
        <v>46977.937</v>
      </c>
      <c r="O12" s="13" t="n">
        <v>353022.063</v>
      </c>
      <c r="P12" s="13" t="n">
        <v>-22280.195</v>
      </c>
    </row>
    <row r="13" ht="18" customHeight="1">
      <c r="A13" s="4" t="inlineStr"/>
      <c r="B13" s="4" t="inlineStr"/>
      <c r="C13" s="6" t="inlineStr"/>
      <c r="D13" s="7" t="inlineStr">
        <is>
          <t>TK54</t>
        </is>
      </c>
      <c r="E13" s="9" t="n">
        <v>28887.496</v>
      </c>
      <c r="F13" s="8" t="n">
        <v>60</v>
      </c>
      <c r="G13" s="9" t="n">
        <v>126527.748</v>
      </c>
      <c r="H13" s="9" t="n">
        <v>127259.49</v>
      </c>
      <c r="I13" s="9" t="n">
        <v>40.875</v>
      </c>
      <c r="J13" s="8" t="n">
        <v>60</v>
      </c>
      <c r="K13" s="9" t="n">
        <v>68.40000000000001</v>
      </c>
      <c r="L13" s="8" t="n">
        <v>0</v>
      </c>
      <c r="M13" s="8" t="n">
        <v>0</v>
      </c>
      <c r="N13" s="9" t="n">
        <v>126527.748</v>
      </c>
      <c r="O13" s="9" t="n">
        <v>273472.252</v>
      </c>
      <c r="P13" s="9" t="n">
        <v>97640.25199999999</v>
      </c>
    </row>
    <row r="14" ht="18" customHeight="1">
      <c r="A14" s="10" t="inlineStr"/>
      <c r="B14" s="10" t="inlineStr"/>
      <c r="C14" s="11" t="inlineStr"/>
      <c r="D14" s="12" t="inlineStr">
        <is>
          <t>TK55</t>
        </is>
      </c>
      <c r="E14" s="13" t="n">
        <v>67838.186</v>
      </c>
      <c r="F14" s="13" t="n">
        <v>62.1</v>
      </c>
      <c r="G14" s="13" t="n">
        <v>76802.67600000001</v>
      </c>
      <c r="H14" s="13" t="n">
        <v>76717.52</v>
      </c>
      <c r="I14" s="13" t="n">
        <v>30.656</v>
      </c>
      <c r="J14" s="13" t="n">
        <v>62.1</v>
      </c>
      <c r="K14" s="13" t="n">
        <v>58.4</v>
      </c>
      <c r="L14" s="20" t="n">
        <v>0</v>
      </c>
      <c r="M14" s="20" t="n">
        <v>0</v>
      </c>
      <c r="N14" s="13" t="n">
        <v>76802.67600000001</v>
      </c>
      <c r="O14" s="13" t="n">
        <v>323197.324</v>
      </c>
      <c r="P14" s="13" t="n">
        <v>8964.49</v>
      </c>
    </row>
    <row r="15" ht="18" customHeight="1">
      <c r="A15" s="4" t="inlineStr"/>
      <c r="B15" s="4" t="inlineStr"/>
      <c r="C15" s="6" t="inlineStr"/>
      <c r="D15" s="7" t="inlineStr">
        <is>
          <t>TK65</t>
        </is>
      </c>
      <c r="E15" s="9" t="n">
        <v>134787.363</v>
      </c>
      <c r="F15" s="9" t="n">
        <v>62.811</v>
      </c>
      <c r="G15" s="9" t="n">
        <v>134777.402</v>
      </c>
      <c r="H15" s="9" t="n">
        <v>136094.8</v>
      </c>
      <c r="I15" s="9" t="n">
        <v>43.5</v>
      </c>
      <c r="J15" s="9" t="n">
        <v>62.969</v>
      </c>
      <c r="K15" s="9" t="n">
        <v>73.8</v>
      </c>
      <c r="L15" s="8" t="n">
        <v>0</v>
      </c>
      <c r="M15" s="8" t="n">
        <v>0</v>
      </c>
      <c r="N15" s="9" t="n">
        <v>134777.402</v>
      </c>
      <c r="O15" s="9" t="n">
        <v>265222.598</v>
      </c>
      <c r="P15" s="9" t="n">
        <v>-9.961</v>
      </c>
    </row>
    <row r="16" ht="20" customHeight="1">
      <c r="A16" s="14" t="inlineStr"/>
      <c r="B16" s="15" t="inlineStr">
        <is>
          <t>Acc_84RegularCARBOB</t>
        </is>
      </c>
      <c r="C16" s="16" t="inlineStr">
        <is>
          <t>84 Regular CARBOB</t>
        </is>
      </c>
      <c r="D16" s="17" t="inlineStr">
        <is>
          <t>Total</t>
        </is>
      </c>
      <c r="E16" s="18">
        <f>E11+E12+E13+E14+E15</f>
        <v/>
      </c>
      <c r="F16" s="18">
        <f>AVERAGE(F11,F12,F13,F14,F15)</f>
        <v/>
      </c>
      <c r="G16" s="18">
        <f>G11+G12+G13+G14+G15</f>
        <v/>
      </c>
      <c r="H16" s="18">
        <f>H11+H12+H13+H14+H15</f>
        <v/>
      </c>
      <c r="I16" s="19" t="inlineStr"/>
      <c r="J16" s="18">
        <f>AVERAGE(J11,J12,J13,J14,J15)</f>
        <v/>
      </c>
      <c r="K16" s="19" t="inlineStr"/>
      <c r="L16" s="18">
        <f>L11+L12+L13+L14+L15</f>
        <v/>
      </c>
      <c r="M16" s="19" t="inlineStr"/>
      <c r="N16" s="18">
        <f>N11+N12+N13+N14+N15</f>
        <v/>
      </c>
      <c r="O16" s="18">
        <f>O11+O12+O13+O14+O15</f>
        <v/>
      </c>
      <c r="P16" s="18">
        <f>P11+P12+P13+P14+P15</f>
        <v/>
      </c>
    </row>
    <row r="17" ht="20" customHeight="1">
      <c r="A17" s="3" t="inlineStr">
        <is>
          <t>4.  Acc_89PremiumCARB  —  89 Premium CARBOB</t>
        </is>
      </c>
    </row>
    <row r="18" ht="18" customHeight="1">
      <c r="A18" s="4" t="inlineStr"/>
      <c r="B18" s="5" t="inlineStr">
        <is>
          <t>Acc_89PremiumCARB</t>
        </is>
      </c>
      <c r="C18" s="6" t="inlineStr">
        <is>
          <t>89 Premium CARBOB</t>
        </is>
      </c>
      <c r="D18" s="7" t="inlineStr">
        <is>
          <t>TK45</t>
        </is>
      </c>
      <c r="E18" s="9" t="n">
        <v>79736.39599999999</v>
      </c>
      <c r="F18" s="9" t="n">
        <v>65.44</v>
      </c>
      <c r="G18" s="9" t="n">
        <v>32836.07</v>
      </c>
      <c r="H18" s="9" t="n">
        <v>32939.5</v>
      </c>
      <c r="I18" s="9" t="n">
        <v>13.469</v>
      </c>
      <c r="J18" s="9" t="n">
        <v>65.44</v>
      </c>
      <c r="K18" s="9" t="n">
        <v>64.40000000000001</v>
      </c>
      <c r="L18" s="8" t="n">
        <v>0</v>
      </c>
      <c r="M18" s="8" t="n">
        <v>0</v>
      </c>
      <c r="N18" s="9" t="n">
        <v>32836.07</v>
      </c>
      <c r="O18" s="9" t="n">
        <v>367163.93</v>
      </c>
      <c r="P18" s="9" t="n">
        <v>-46900.326</v>
      </c>
    </row>
    <row r="19" ht="18" customHeight="1">
      <c r="A19" s="10" t="inlineStr"/>
      <c r="B19" s="10" t="inlineStr"/>
      <c r="C19" s="11" t="inlineStr"/>
      <c r="D19" s="12" t="inlineStr">
        <is>
          <t>TK52</t>
        </is>
      </c>
      <c r="E19" s="13" t="n">
        <v>93417.766</v>
      </c>
      <c r="F19" s="13" t="n">
        <v>68.276</v>
      </c>
      <c r="G19" s="13" t="n">
        <v>97386.345</v>
      </c>
      <c r="H19" s="13" t="n">
        <v>98048.17</v>
      </c>
      <c r="I19" s="13" t="n">
        <v>38.896</v>
      </c>
      <c r="J19" s="13" t="n">
        <v>68.91500000000001</v>
      </c>
      <c r="K19" s="13" t="n">
        <v>69.2</v>
      </c>
      <c r="L19" s="20" t="n">
        <v>0</v>
      </c>
      <c r="M19" s="20" t="n">
        <v>0</v>
      </c>
      <c r="N19" s="13" t="n">
        <v>97386.345</v>
      </c>
      <c r="O19" s="13" t="n">
        <v>302613.655</v>
      </c>
      <c r="P19" s="13" t="n">
        <v>3968.579</v>
      </c>
    </row>
    <row r="20" ht="20" customHeight="1">
      <c r="A20" s="14" t="inlineStr"/>
      <c r="B20" s="15" t="inlineStr">
        <is>
          <t>Acc_89PremiumCARB</t>
        </is>
      </c>
      <c r="C20" s="16" t="inlineStr">
        <is>
          <t>89 Premium CARBOB</t>
        </is>
      </c>
      <c r="D20" s="17" t="inlineStr">
        <is>
          <t>Total</t>
        </is>
      </c>
      <c r="E20" s="18">
        <f>E18+E19</f>
        <v/>
      </c>
      <c r="F20" s="18">
        <f>AVERAGE(F18,F19)</f>
        <v/>
      </c>
      <c r="G20" s="18">
        <f>G18+G19</f>
        <v/>
      </c>
      <c r="H20" s="18">
        <f>H18+H19</f>
        <v/>
      </c>
      <c r="I20" s="19" t="inlineStr"/>
      <c r="J20" s="18">
        <f>AVERAGE(J18,J19)</f>
        <v/>
      </c>
      <c r="K20" s="19" t="inlineStr"/>
      <c r="L20" s="18">
        <f>L18+L19</f>
        <v/>
      </c>
      <c r="M20" s="19" t="inlineStr"/>
      <c r="N20" s="18">
        <f>N18+N19</f>
        <v/>
      </c>
      <c r="O20" s="18">
        <f>O18+O19</f>
        <v/>
      </c>
      <c r="P20" s="18">
        <f>P18+P19</f>
        <v/>
      </c>
    </row>
    <row r="21" ht="20" customHeight="1">
      <c r="A21" s="3" t="inlineStr">
        <is>
          <t>5.  Acc_AlkyFeed  —  Alky Feed</t>
        </is>
      </c>
    </row>
    <row r="22" ht="18" customHeight="1">
      <c r="A22" s="4" t="inlineStr"/>
      <c r="B22" s="5" t="inlineStr">
        <is>
          <t>Acc_AlkyFeed</t>
        </is>
      </c>
      <c r="C22" s="6" t="inlineStr">
        <is>
          <t>Alky Feed</t>
        </is>
      </c>
      <c r="D22" s="7" t="inlineStr">
        <is>
          <t>TK682</t>
        </is>
      </c>
      <c r="E22" s="9" t="n">
        <v>10397.41</v>
      </c>
      <c r="F22" s="8" t="n">
        <v>112</v>
      </c>
      <c r="G22" s="9" t="n">
        <v>10417.07</v>
      </c>
      <c r="H22" s="9" t="n">
        <v>10417.07</v>
      </c>
      <c r="I22" s="9" t="n">
        <v>26.854</v>
      </c>
      <c r="J22" s="8" t="n">
        <v>112</v>
      </c>
      <c r="K22" s="9" t="n">
        <v>65.8</v>
      </c>
      <c r="L22" s="8" t="n">
        <v>0</v>
      </c>
      <c r="M22" s="8" t="n">
        <v>0</v>
      </c>
      <c r="N22" s="9" t="n">
        <v>10417.07</v>
      </c>
      <c r="O22" s="9" t="n">
        <v>389582.93</v>
      </c>
      <c r="P22" s="9" t="n">
        <v>19.66</v>
      </c>
    </row>
    <row r="23" ht="18" customHeight="1">
      <c r="A23" s="10" t="inlineStr"/>
      <c r="B23" s="10" t="inlineStr"/>
      <c r="C23" s="11" t="inlineStr"/>
      <c r="D23" s="12" t="inlineStr">
        <is>
          <t>TK76</t>
        </is>
      </c>
      <c r="E23" s="13" t="n">
        <v>15837.625</v>
      </c>
      <c r="F23" s="20" t="n">
        <v>110</v>
      </c>
      <c r="G23" s="13" t="n">
        <v>18808.709</v>
      </c>
      <c r="H23" s="13" t="n">
        <v>18808.709</v>
      </c>
      <c r="I23" s="20" t="n">
        <v>0</v>
      </c>
      <c r="J23" s="20" t="n">
        <v>110</v>
      </c>
      <c r="K23" s="13" t="n">
        <v>76.92400000000001</v>
      </c>
      <c r="L23" s="20" t="n">
        <v>0</v>
      </c>
      <c r="M23" s="20" t="n">
        <v>0</v>
      </c>
      <c r="N23" s="13" t="n">
        <v>18808.709</v>
      </c>
      <c r="O23" s="13" t="n">
        <v>381191.291</v>
      </c>
      <c r="P23" s="13" t="n">
        <v>2971.084</v>
      </c>
    </row>
    <row r="24" ht="18" customHeight="1">
      <c r="A24" s="4" t="inlineStr"/>
      <c r="B24" s="4" t="inlineStr"/>
      <c r="C24" s="6" t="inlineStr"/>
      <c r="D24" s="7" t="inlineStr">
        <is>
          <t>TK78</t>
        </is>
      </c>
      <c r="E24" s="9" t="n">
        <v>4192.393</v>
      </c>
      <c r="F24" s="9" t="n">
        <v>107.76</v>
      </c>
      <c r="G24" s="9" t="n">
        <v>3792.62</v>
      </c>
      <c r="H24" s="9" t="n">
        <v>3792.62</v>
      </c>
      <c r="I24" s="8" t="n">
        <v>0</v>
      </c>
      <c r="J24" s="9" t="n">
        <v>107.76</v>
      </c>
      <c r="K24" s="9" t="n">
        <v>74.44499999999999</v>
      </c>
      <c r="L24" s="8" t="n">
        <v>0</v>
      </c>
      <c r="M24" s="8" t="n">
        <v>0</v>
      </c>
      <c r="N24" s="9" t="n">
        <v>3792.62</v>
      </c>
      <c r="O24" s="9" t="n">
        <v>396207.38</v>
      </c>
      <c r="P24" s="9" t="n">
        <v>-399.773</v>
      </c>
    </row>
    <row r="25" ht="20" customHeight="1">
      <c r="A25" s="14" t="inlineStr"/>
      <c r="B25" s="15" t="inlineStr">
        <is>
          <t>Acc_AlkyFeed</t>
        </is>
      </c>
      <c r="C25" s="16" t="inlineStr">
        <is>
          <t>Alky Feed</t>
        </is>
      </c>
      <c r="D25" s="17" t="inlineStr">
        <is>
          <t>Total</t>
        </is>
      </c>
      <c r="E25" s="18">
        <f>E22+E23+E24</f>
        <v/>
      </c>
      <c r="F25" s="18">
        <f>AVERAGE(F22,F23,F24)</f>
        <v/>
      </c>
      <c r="G25" s="18">
        <f>G22+G23+G24</f>
        <v/>
      </c>
      <c r="H25" s="18">
        <f>H22+H23+H24</f>
        <v/>
      </c>
      <c r="I25" s="19" t="inlineStr"/>
      <c r="J25" s="18">
        <f>AVERAGE(J22,J23,J24)</f>
        <v/>
      </c>
      <c r="K25" s="19" t="inlineStr"/>
      <c r="L25" s="18">
        <f>L22+L23+L24</f>
        <v/>
      </c>
      <c r="M25" s="19" t="inlineStr"/>
      <c r="N25" s="18">
        <f>N22+N23+N24</f>
        <v/>
      </c>
      <c r="O25" s="18">
        <f>O22+O23+O24</f>
        <v/>
      </c>
      <c r="P25" s="18">
        <f>P22+P23+P24</f>
        <v/>
      </c>
    </row>
    <row r="26" ht="20" customHeight="1">
      <c r="A26" s="3" t="inlineStr">
        <is>
          <t>6.  Acc_Alkylate  —  Alkylate</t>
        </is>
      </c>
    </row>
    <row r="27" ht="18" customHeight="1">
      <c r="A27" s="4" t="inlineStr"/>
      <c r="B27" s="5" t="inlineStr">
        <is>
          <t>Acc_Alkylate</t>
        </is>
      </c>
      <c r="C27" s="6" t="inlineStr">
        <is>
          <t>Alkylate</t>
        </is>
      </c>
      <c r="D27" s="7" t="inlineStr">
        <is>
          <t>LF_005</t>
        </is>
      </c>
      <c r="E27" s="8" t="n">
        <v>26000</v>
      </c>
      <c r="F27" s="8" t="n">
        <v>70</v>
      </c>
      <c r="G27" s="8" t="n">
        <v>26000</v>
      </c>
      <c r="H27" s="8" t="n">
        <v>26000</v>
      </c>
      <c r="I27" s="8" t="n">
        <v>0</v>
      </c>
      <c r="J27" s="8" t="n">
        <v>70</v>
      </c>
      <c r="K27" s="8" t="n">
        <v>60</v>
      </c>
      <c r="L27" s="8" t="n">
        <v>0</v>
      </c>
      <c r="M27" s="8" t="n">
        <v>0</v>
      </c>
      <c r="N27" s="8" t="n">
        <v>26000</v>
      </c>
      <c r="O27" s="8" t="n">
        <v>374000</v>
      </c>
      <c r="P27" s="8" t="n">
        <v>0</v>
      </c>
    </row>
    <row r="28" ht="18" customHeight="1">
      <c r="A28" s="10" t="inlineStr"/>
      <c r="B28" s="10" t="inlineStr"/>
      <c r="C28" s="11" t="inlineStr"/>
      <c r="D28" s="12" t="inlineStr">
        <is>
          <t>TK31</t>
        </is>
      </c>
      <c r="E28" s="13" t="n">
        <v>15330.008</v>
      </c>
      <c r="F28" s="13" t="n">
        <v>69.8</v>
      </c>
      <c r="G28" s="13" t="n">
        <v>19287.735</v>
      </c>
      <c r="H28" s="13" t="n">
        <v>19419.79</v>
      </c>
      <c r="I28" s="13" t="n">
        <v>10.708</v>
      </c>
      <c r="J28" s="13" t="n">
        <v>69.8</v>
      </c>
      <c r="K28" s="13" t="n">
        <v>69.2</v>
      </c>
      <c r="L28" s="20" t="n">
        <v>0</v>
      </c>
      <c r="M28" s="20" t="n">
        <v>0</v>
      </c>
      <c r="N28" s="13" t="n">
        <v>19287.735</v>
      </c>
      <c r="O28" s="13" t="n">
        <v>380712.265</v>
      </c>
      <c r="P28" s="13" t="n">
        <v>3957.727</v>
      </c>
    </row>
    <row r="29" ht="18" customHeight="1">
      <c r="A29" s="4" t="inlineStr"/>
      <c r="B29" s="4" t="inlineStr"/>
      <c r="C29" s="6" t="inlineStr"/>
      <c r="D29" s="7" t="inlineStr">
        <is>
          <t>TK43</t>
        </is>
      </c>
      <c r="E29" s="9" t="n">
        <v>52824.822</v>
      </c>
      <c r="F29" s="8" t="n">
        <v>66</v>
      </c>
      <c r="G29" s="9" t="n">
        <v>52819.057</v>
      </c>
      <c r="H29" s="9" t="n">
        <v>52864.52</v>
      </c>
      <c r="I29" s="9" t="n">
        <v>27.531</v>
      </c>
      <c r="J29" s="8" t="n">
        <v>66</v>
      </c>
      <c r="K29" s="9" t="n">
        <v>61.2</v>
      </c>
      <c r="L29" s="8" t="n">
        <v>0</v>
      </c>
      <c r="M29" s="8" t="n">
        <v>0</v>
      </c>
      <c r="N29" s="9" t="n">
        <v>52819.057</v>
      </c>
      <c r="O29" s="9" t="n">
        <v>347180.943</v>
      </c>
      <c r="P29" s="9" t="n">
        <v>-5.765</v>
      </c>
    </row>
    <row r="30" ht="18" customHeight="1">
      <c r="A30" s="10" t="inlineStr"/>
      <c r="B30" s="10" t="inlineStr"/>
      <c r="C30" s="11" t="inlineStr"/>
      <c r="D30" s="12" t="inlineStr">
        <is>
          <t>TK64</t>
        </is>
      </c>
      <c r="E30" s="13" t="n">
        <v>33416.721</v>
      </c>
      <c r="F30" s="13" t="n">
        <v>67.8</v>
      </c>
      <c r="G30" s="13" t="n">
        <v>27828.114</v>
      </c>
      <c r="H30" s="13" t="n">
        <v>28235.84</v>
      </c>
      <c r="I30" s="13" t="n">
        <v>11.542</v>
      </c>
      <c r="J30" s="13" t="n">
        <v>67.8</v>
      </c>
      <c r="K30" s="13" t="n">
        <v>79.8</v>
      </c>
      <c r="L30" s="20" t="n">
        <v>0</v>
      </c>
      <c r="M30" s="20" t="n">
        <v>0</v>
      </c>
      <c r="N30" s="13" t="n">
        <v>27828.114</v>
      </c>
      <c r="O30" s="13" t="n">
        <v>372171.886</v>
      </c>
      <c r="P30" s="13" t="n">
        <v>-5588.607</v>
      </c>
    </row>
    <row r="31" ht="20" customHeight="1">
      <c r="A31" s="14" t="inlineStr"/>
      <c r="B31" s="15" t="inlineStr">
        <is>
          <t>Acc_Alkylate</t>
        </is>
      </c>
      <c r="C31" s="16" t="inlineStr">
        <is>
          <t>Alkylate</t>
        </is>
      </c>
      <c r="D31" s="17" t="inlineStr">
        <is>
          <t>Total</t>
        </is>
      </c>
      <c r="E31" s="18">
        <f>E27+E28+E29+E30</f>
        <v/>
      </c>
      <c r="F31" s="18">
        <f>AVERAGE(F27,F28,F29,F30)</f>
        <v/>
      </c>
      <c r="G31" s="18">
        <f>G27+G28+G29+G30</f>
        <v/>
      </c>
      <c r="H31" s="18">
        <f>H27+H28+H29+H30</f>
        <v/>
      </c>
      <c r="I31" s="19" t="inlineStr"/>
      <c r="J31" s="18">
        <f>AVERAGE(J27,J28,J29,J30)</f>
        <v/>
      </c>
      <c r="K31" s="19" t="inlineStr"/>
      <c r="L31" s="18">
        <f>L27+L28+L29+L30</f>
        <v/>
      </c>
      <c r="M31" s="19" t="inlineStr"/>
      <c r="N31" s="18">
        <f>N27+N28+N29+N30</f>
        <v/>
      </c>
      <c r="O31" s="18">
        <f>O27+O28+O29+O30</f>
        <v/>
      </c>
      <c r="P31" s="18">
        <f>P27+P28+P29+P30</f>
        <v/>
      </c>
    </row>
    <row r="32" ht="20" customHeight="1">
      <c r="A32" s="3" t="inlineStr">
        <is>
          <t>7.  Acc_ChemPropylene  —  Chemical Grade Propylene</t>
        </is>
      </c>
    </row>
    <row r="33" ht="18" customHeight="1">
      <c r="A33" s="4" t="inlineStr"/>
      <c r="B33" s="5" t="inlineStr">
        <is>
          <t>Acc_ChemPropylene</t>
        </is>
      </c>
      <c r="C33" s="6" t="inlineStr">
        <is>
          <t>Chemical Grade Propylene</t>
        </is>
      </c>
      <c r="D33" s="7" t="inlineStr">
        <is>
          <t>TK398</t>
        </is>
      </c>
      <c r="E33" s="9" t="n">
        <v>2035.89</v>
      </c>
      <c r="F33" s="9" t="n">
        <v>139.21</v>
      </c>
      <c r="G33" s="9" t="n">
        <v>2908.52</v>
      </c>
      <c r="H33" s="9" t="n">
        <v>2908.52</v>
      </c>
      <c r="I33" s="9" t="n">
        <v>18.778</v>
      </c>
      <c r="J33" s="9" t="n">
        <v>139.21</v>
      </c>
      <c r="K33" s="9" t="n">
        <v>66.227</v>
      </c>
      <c r="L33" s="8" t="n">
        <v>0</v>
      </c>
      <c r="M33" s="8" t="n">
        <v>0</v>
      </c>
      <c r="N33" s="9" t="n">
        <v>2908.52</v>
      </c>
      <c r="O33" s="9" t="n">
        <v>397091.48</v>
      </c>
      <c r="P33" s="9" t="n">
        <v>872.63</v>
      </c>
    </row>
    <row r="34" ht="18" customHeight="1">
      <c r="A34" s="10" t="inlineStr"/>
      <c r="B34" s="10" t="inlineStr"/>
      <c r="C34" s="11" t="inlineStr"/>
      <c r="D34" s="12" t="inlineStr">
        <is>
          <t>TK399</t>
        </is>
      </c>
      <c r="E34" s="13" t="n">
        <v>3794.26</v>
      </c>
      <c r="F34" s="13" t="n">
        <v>139.16</v>
      </c>
      <c r="G34" s="13" t="n">
        <v>4808.09</v>
      </c>
      <c r="H34" s="13" t="n">
        <v>4808.09</v>
      </c>
      <c r="I34" s="13" t="n">
        <v>26.619</v>
      </c>
      <c r="J34" s="13" t="n">
        <v>139.16</v>
      </c>
      <c r="K34" s="13" t="n">
        <v>66.813</v>
      </c>
      <c r="L34" s="20" t="n">
        <v>0</v>
      </c>
      <c r="M34" s="20" t="n">
        <v>0</v>
      </c>
      <c r="N34" s="13" t="n">
        <v>4808.09</v>
      </c>
      <c r="O34" s="13" t="n">
        <v>395191.91</v>
      </c>
      <c r="P34" s="13" t="n">
        <v>1013.83</v>
      </c>
    </row>
    <row r="35" ht="20" customHeight="1">
      <c r="A35" s="14" t="inlineStr"/>
      <c r="B35" s="15" t="inlineStr">
        <is>
          <t>Acc_ChemPropylene</t>
        </is>
      </c>
      <c r="C35" s="16" t="inlineStr">
        <is>
          <t>Chemical Grade Propylene</t>
        </is>
      </c>
      <c r="D35" s="17" t="inlineStr">
        <is>
          <t>Total</t>
        </is>
      </c>
      <c r="E35" s="18">
        <f>E33+E34</f>
        <v/>
      </c>
      <c r="F35" s="18">
        <f>AVERAGE(F33,F34)</f>
        <v/>
      </c>
      <c r="G35" s="18">
        <f>G33+G34</f>
        <v/>
      </c>
      <c r="H35" s="18">
        <f>H33+H34</f>
        <v/>
      </c>
      <c r="I35" s="19" t="inlineStr"/>
      <c r="J35" s="18">
        <f>AVERAGE(J33,J34)</f>
        <v/>
      </c>
      <c r="K35" s="19" t="inlineStr"/>
      <c r="L35" s="18">
        <f>L33+L34</f>
        <v/>
      </c>
      <c r="M35" s="19" t="inlineStr"/>
      <c r="N35" s="18">
        <f>N33+N34</f>
        <v/>
      </c>
      <c r="O35" s="18">
        <f>O33+O34</f>
        <v/>
      </c>
      <c r="P35" s="18">
        <f>P33+P34</f>
        <v/>
      </c>
    </row>
    <row r="36" ht="20" customHeight="1">
      <c r="A36" s="3" t="inlineStr">
        <is>
          <t>8.  Acc_Crude  —  Crude Mix</t>
        </is>
      </c>
    </row>
    <row r="37" ht="18" customHeight="1">
      <c r="A37" s="4" t="inlineStr"/>
      <c r="B37" s="5" t="inlineStr">
        <is>
          <t>Acc_Crude</t>
        </is>
      </c>
      <c r="C37" s="6" t="inlineStr">
        <is>
          <t>Crude Mix</t>
        </is>
      </c>
      <c r="D37" s="7" t="inlineStr">
        <is>
          <t>LF_004</t>
        </is>
      </c>
      <c r="E37" s="8" t="n">
        <v>49000</v>
      </c>
      <c r="F37" s="8" t="n">
        <v>27</v>
      </c>
      <c r="G37" s="8" t="n">
        <v>49000</v>
      </c>
      <c r="H37" s="8" t="n">
        <v>49000</v>
      </c>
      <c r="I37" s="8" t="n">
        <v>0</v>
      </c>
      <c r="J37" s="8" t="n">
        <v>27</v>
      </c>
      <c r="K37" s="8" t="n">
        <v>60</v>
      </c>
      <c r="L37" s="8" t="n">
        <v>0</v>
      </c>
      <c r="M37" s="8" t="n">
        <v>0</v>
      </c>
      <c r="N37" s="8" t="n">
        <v>49000</v>
      </c>
      <c r="O37" s="8" t="n">
        <v>351000</v>
      </c>
      <c r="P37" s="8" t="n">
        <v>0</v>
      </c>
    </row>
    <row r="38" ht="18" customHeight="1">
      <c r="A38" s="10" t="inlineStr"/>
      <c r="B38" s="10" t="inlineStr"/>
      <c r="C38" s="11" t="inlineStr"/>
      <c r="D38" s="12" t="inlineStr">
        <is>
          <t>TK13</t>
        </is>
      </c>
      <c r="E38" s="13" t="n">
        <v>396563.691</v>
      </c>
      <c r="F38" s="13" t="n">
        <v>30.79</v>
      </c>
      <c r="G38" s="13" t="n">
        <v>339634.7</v>
      </c>
      <c r="H38" s="13" t="n">
        <v>337575.49</v>
      </c>
      <c r="I38" s="13" t="n">
        <v>46.354</v>
      </c>
      <c r="J38" s="13" t="n">
        <v>30.79</v>
      </c>
      <c r="K38" s="13" t="n">
        <v>46.4</v>
      </c>
      <c r="L38" s="13" t="n">
        <v>140.308</v>
      </c>
      <c r="M38" s="13" t="n">
        <v>0.083</v>
      </c>
      <c r="N38" s="13" t="n">
        <v>339634.7</v>
      </c>
      <c r="O38" s="13" t="n">
        <v>60365.3</v>
      </c>
      <c r="P38" s="13" t="n">
        <v>-56928.991</v>
      </c>
    </row>
    <row r="39" ht="18" customHeight="1">
      <c r="A39" s="4" t="inlineStr"/>
      <c r="B39" s="4" t="inlineStr"/>
      <c r="C39" s="6" t="inlineStr"/>
      <c r="D39" s="7" t="inlineStr">
        <is>
          <t>TK16</t>
        </is>
      </c>
      <c r="E39" s="9" t="n">
        <v>80291.34699999999</v>
      </c>
      <c r="F39" s="9" t="n">
        <v>29.7</v>
      </c>
      <c r="G39" s="9" t="n">
        <v>55214.268</v>
      </c>
      <c r="H39" s="9" t="n">
        <v>55386.52</v>
      </c>
      <c r="I39" s="9" t="n">
        <v>27.385</v>
      </c>
      <c r="J39" s="9" t="n">
        <v>29.7</v>
      </c>
      <c r="K39" s="8" t="n">
        <v>67</v>
      </c>
      <c r="L39" s="8" t="n">
        <v>0</v>
      </c>
      <c r="M39" s="8" t="n">
        <v>0</v>
      </c>
      <c r="N39" s="9" t="n">
        <v>55214.268</v>
      </c>
      <c r="O39" s="9" t="n">
        <v>344785.732</v>
      </c>
      <c r="P39" s="9" t="n">
        <v>-25077.079</v>
      </c>
    </row>
    <row r="40" ht="18" customHeight="1">
      <c r="A40" s="10" t="inlineStr"/>
      <c r="B40" s="10" t="inlineStr"/>
      <c r="C40" s="11" t="inlineStr"/>
      <c r="D40" s="12" t="inlineStr">
        <is>
          <t>TK17</t>
        </is>
      </c>
      <c r="E40" s="13" t="n">
        <v>80983.897</v>
      </c>
      <c r="F40" s="13" t="n">
        <v>29.7</v>
      </c>
      <c r="G40" s="13" t="n">
        <v>56679.328</v>
      </c>
      <c r="H40" s="20" t="n">
        <v>57014</v>
      </c>
      <c r="I40" s="13" t="n">
        <v>28.375</v>
      </c>
      <c r="J40" s="13" t="n">
        <v>29.7</v>
      </c>
      <c r="K40" s="13" t="n">
        <v>73.2</v>
      </c>
      <c r="L40" s="20" t="n">
        <v>0</v>
      </c>
      <c r="M40" s="20" t="n">
        <v>0</v>
      </c>
      <c r="N40" s="13" t="n">
        <v>56679.328</v>
      </c>
      <c r="O40" s="13" t="n">
        <v>343320.672</v>
      </c>
      <c r="P40" s="13" t="n">
        <v>-24304.569</v>
      </c>
    </row>
    <row r="41" ht="18" customHeight="1">
      <c r="A41" s="4" t="inlineStr"/>
      <c r="B41" s="4" t="inlineStr"/>
      <c r="C41" s="6" t="inlineStr"/>
      <c r="D41" s="7" t="inlineStr">
        <is>
          <t>TK18</t>
        </is>
      </c>
      <c r="E41" s="9" t="n">
        <v>67607.307</v>
      </c>
      <c r="F41" s="9" t="n">
        <v>29.9</v>
      </c>
      <c r="G41" s="9" t="n">
        <v>67619.514</v>
      </c>
      <c r="H41" s="9" t="n">
        <v>67812.78</v>
      </c>
      <c r="I41" s="9" t="n">
        <v>35.427</v>
      </c>
      <c r="J41" s="9" t="n">
        <v>29.9</v>
      </c>
      <c r="K41" s="9" t="n">
        <v>66.40000000000001</v>
      </c>
      <c r="L41" s="8" t="n">
        <v>0</v>
      </c>
      <c r="M41" s="8" t="n">
        <v>0</v>
      </c>
      <c r="N41" s="9" t="n">
        <v>67619.514</v>
      </c>
      <c r="O41" s="9" t="n">
        <v>332380.486</v>
      </c>
      <c r="P41" s="9" t="n">
        <v>12.206</v>
      </c>
    </row>
    <row r="42" ht="18" customHeight="1">
      <c r="A42" s="10" t="inlineStr"/>
      <c r="B42" s="10" t="inlineStr"/>
      <c r="C42" s="11" t="inlineStr"/>
      <c r="D42" s="12" t="inlineStr">
        <is>
          <t>TK2</t>
        </is>
      </c>
      <c r="E42" s="13" t="n">
        <v>26891.155</v>
      </c>
      <c r="F42" s="20" t="n">
        <v>33</v>
      </c>
      <c r="G42" s="13" t="n">
        <v>27873.89</v>
      </c>
      <c r="H42" s="13" t="n">
        <v>27990.33</v>
      </c>
      <c r="I42" s="13" t="n">
        <v>29.896</v>
      </c>
      <c r="J42" s="20" t="n">
        <v>33</v>
      </c>
      <c r="K42" s="20" t="n">
        <v>69</v>
      </c>
      <c r="L42" s="20" t="n">
        <v>31853</v>
      </c>
      <c r="M42" s="20" t="n">
        <v>16</v>
      </c>
      <c r="N42" s="13" t="n">
        <v>27873.89</v>
      </c>
      <c r="O42" s="13" t="n">
        <v>372126.11</v>
      </c>
      <c r="P42" s="13" t="n">
        <v>982.735</v>
      </c>
    </row>
    <row r="43" ht="18" customHeight="1">
      <c r="A43" s="4" t="inlineStr"/>
      <c r="B43" s="4" t="inlineStr"/>
      <c r="C43" s="6" t="inlineStr"/>
      <c r="D43" s="7" t="inlineStr">
        <is>
          <t>TK3</t>
        </is>
      </c>
      <c r="E43" s="9" t="n">
        <v>39226.178</v>
      </c>
      <c r="F43" s="9" t="n">
        <v>37.1</v>
      </c>
      <c r="G43" s="9" t="n">
        <v>19997.542</v>
      </c>
      <c r="H43" s="9" t="n">
        <v>19956.83</v>
      </c>
      <c r="I43" s="9" t="n">
        <v>10.552</v>
      </c>
      <c r="J43" s="9" t="n">
        <v>37.1</v>
      </c>
      <c r="K43" s="9" t="n">
        <v>55.8</v>
      </c>
      <c r="L43" s="8" t="n">
        <v>0</v>
      </c>
      <c r="M43" s="8" t="n">
        <v>0</v>
      </c>
      <c r="N43" s="9" t="n">
        <v>19997.542</v>
      </c>
      <c r="O43" s="9" t="n">
        <v>380002.458</v>
      </c>
      <c r="P43" s="9" t="n">
        <v>-19228.637</v>
      </c>
    </row>
    <row r="44" ht="18" customHeight="1">
      <c r="A44" s="10" t="inlineStr"/>
      <c r="B44" s="10" t="inlineStr"/>
      <c r="C44" s="11" t="inlineStr"/>
      <c r="D44" s="12" t="inlineStr">
        <is>
          <t>TK5</t>
        </is>
      </c>
      <c r="E44" s="13" t="n">
        <v>19857.29</v>
      </c>
      <c r="F44" s="13" t="n">
        <v>31.1</v>
      </c>
      <c r="G44" s="13" t="n">
        <v>58531.625</v>
      </c>
      <c r="H44" s="13" t="n">
        <v>58711.87</v>
      </c>
      <c r="I44" s="13" t="n">
        <v>31.104</v>
      </c>
      <c r="J44" s="13" t="n">
        <v>31.1</v>
      </c>
      <c r="K44" s="13" t="n">
        <v>66.8</v>
      </c>
      <c r="L44" s="13" t="n">
        <v>131.93</v>
      </c>
      <c r="M44" s="13" t="n">
        <v>0.083</v>
      </c>
      <c r="N44" s="13" t="n">
        <v>58531.625</v>
      </c>
      <c r="O44" s="13" t="n">
        <v>341468.375</v>
      </c>
      <c r="P44" s="13" t="n">
        <v>38674.335</v>
      </c>
    </row>
    <row r="45" ht="18" customHeight="1">
      <c r="A45" s="4" t="inlineStr"/>
      <c r="B45" s="4" t="inlineStr"/>
      <c r="C45" s="6" t="inlineStr"/>
      <c r="D45" s="7" t="inlineStr">
        <is>
          <t>TK6</t>
        </is>
      </c>
      <c r="E45" s="9" t="n">
        <v>199110.605</v>
      </c>
      <c r="F45" s="9" t="n">
        <v>27.3</v>
      </c>
      <c r="G45" s="9" t="n">
        <v>166573.799</v>
      </c>
      <c r="H45" s="9" t="n">
        <v>167906.98</v>
      </c>
      <c r="I45" s="9" t="n">
        <v>38.698</v>
      </c>
      <c r="J45" s="9" t="n">
        <v>27.3</v>
      </c>
      <c r="K45" s="9" t="n">
        <v>78.40000000000001</v>
      </c>
      <c r="L45" s="8" t="n">
        <v>0</v>
      </c>
      <c r="M45" s="8" t="n">
        <v>0</v>
      </c>
      <c r="N45" s="9" t="n">
        <v>166573.799</v>
      </c>
      <c r="O45" s="9" t="n">
        <v>233426.201</v>
      </c>
      <c r="P45" s="9" t="n">
        <v>-32536.806</v>
      </c>
    </row>
    <row r="46" ht="18" customHeight="1">
      <c r="A46" s="10" t="inlineStr"/>
      <c r="B46" s="10" t="inlineStr"/>
      <c r="C46" s="11" t="inlineStr"/>
      <c r="D46" s="12" t="inlineStr">
        <is>
          <t>TK8</t>
        </is>
      </c>
      <c r="E46" s="13" t="n">
        <v>81742.24000000001</v>
      </c>
      <c r="F46" s="13" t="n">
        <v>27.3</v>
      </c>
      <c r="G46" s="13" t="n">
        <v>175204.454</v>
      </c>
      <c r="H46" s="13" t="n">
        <v>175946.95</v>
      </c>
      <c r="I46" s="13" t="n">
        <v>40.594</v>
      </c>
      <c r="J46" s="13" t="n">
        <v>27.3</v>
      </c>
      <c r="K46" s="13" t="n">
        <v>69.8</v>
      </c>
      <c r="L46" s="20" t="n">
        <v>0</v>
      </c>
      <c r="M46" s="20" t="n">
        <v>0</v>
      </c>
      <c r="N46" s="13" t="n">
        <v>175204.454</v>
      </c>
      <c r="O46" s="13" t="n">
        <v>224795.546</v>
      </c>
      <c r="P46" s="13" t="n">
        <v>93462.21400000001</v>
      </c>
    </row>
    <row r="47" ht="20" customHeight="1">
      <c r="A47" s="14" t="inlineStr"/>
      <c r="B47" s="15" t="inlineStr">
        <is>
          <t>Acc_Crude</t>
        </is>
      </c>
      <c r="C47" s="16" t="inlineStr">
        <is>
          <t>Crude Mix</t>
        </is>
      </c>
      <c r="D47" s="17" t="inlineStr">
        <is>
          <t>Total</t>
        </is>
      </c>
      <c r="E47" s="18">
        <f>E37+E38+E39+E40+E41+E42+E43+E44+E45+E46</f>
        <v/>
      </c>
      <c r="F47" s="18">
        <f>AVERAGE(F37,F38,F39,F40,F41,F42,F43,F44,F45,F46)</f>
        <v/>
      </c>
      <c r="G47" s="18">
        <f>G37+G38+G39+G40+G41+G42+G43+G44+G45+G46</f>
        <v/>
      </c>
      <c r="H47" s="18">
        <f>H37+H38+H39+H40+H41+H42+H43+H44+H45+H46</f>
        <v/>
      </c>
      <c r="I47" s="19" t="inlineStr"/>
      <c r="J47" s="18">
        <f>AVERAGE(J37,J38,J39,J40,J41,J42,J43,J44,J45,J46)</f>
        <v/>
      </c>
      <c r="K47" s="19" t="inlineStr"/>
      <c r="L47" s="18">
        <f>L37+L38+L39+L40+L41+L42+L43+L44+L45+L46</f>
        <v/>
      </c>
      <c r="M47" s="19" t="inlineStr"/>
      <c r="N47" s="18">
        <f>N37+N38+N39+N40+N41+N42+N43+N44+N45+N46</f>
        <v/>
      </c>
      <c r="O47" s="18">
        <f>O37+O38+O39+O40+O41+O42+O43+O44+O45+O46</f>
        <v/>
      </c>
      <c r="P47" s="18">
        <f>P37+P38+P39+P40+P41+P42+P43+P44+P45+P46</f>
        <v/>
      </c>
    </row>
    <row r="48" ht="20" customHeight="1">
      <c r="A48" s="3" t="inlineStr">
        <is>
          <t>9.  Acc_DistillateStock  —  Distillate Stock</t>
        </is>
      </c>
    </row>
    <row r="49" ht="18" customHeight="1">
      <c r="A49" s="4" t="inlineStr"/>
      <c r="B49" s="5" t="inlineStr">
        <is>
          <t>Acc_DistillateStock</t>
        </is>
      </c>
      <c r="C49" s="6" t="inlineStr">
        <is>
          <t>Distillate Stock</t>
        </is>
      </c>
      <c r="D49" s="7" t="inlineStr">
        <is>
          <t>TK957</t>
        </is>
      </c>
      <c r="E49" s="9" t="n">
        <v>84428.98</v>
      </c>
      <c r="F49" s="9" t="n">
        <v>29.2</v>
      </c>
      <c r="G49" s="9" t="n">
        <v>84106.413</v>
      </c>
      <c r="H49" s="9" t="n">
        <v>84577.50999999999</v>
      </c>
      <c r="I49" s="9" t="n">
        <v>23.281</v>
      </c>
      <c r="J49" s="9" t="n">
        <v>29.2</v>
      </c>
      <c r="K49" s="9" t="n">
        <v>72.59999999999999</v>
      </c>
      <c r="L49" s="8" t="n">
        <v>0</v>
      </c>
      <c r="M49" s="8" t="n">
        <v>0</v>
      </c>
      <c r="N49" s="9" t="n">
        <v>84106.413</v>
      </c>
      <c r="O49" s="9" t="n">
        <v>315893.587</v>
      </c>
      <c r="P49" s="9" t="n">
        <v>-322.567</v>
      </c>
    </row>
    <row r="50" ht="18" customHeight="1">
      <c r="A50" s="10" t="inlineStr"/>
      <c r="B50" s="10" t="inlineStr"/>
      <c r="C50" s="11" t="inlineStr"/>
      <c r="D50" s="12" t="inlineStr">
        <is>
          <t>TK958</t>
        </is>
      </c>
      <c r="E50" s="13" t="n">
        <v>28223.11</v>
      </c>
      <c r="F50" s="13" t="n">
        <v>34.7</v>
      </c>
      <c r="G50" s="13" t="n">
        <v>27010.431</v>
      </c>
      <c r="H50" s="13" t="n">
        <v>27113.19</v>
      </c>
      <c r="I50" s="13" t="n">
        <v>7.75</v>
      </c>
      <c r="J50" s="13" t="n">
        <v>34.7</v>
      </c>
      <c r="K50" s="13" t="n">
        <v>68.2</v>
      </c>
      <c r="L50" s="13" t="n">
        <v>1612.489</v>
      </c>
      <c r="M50" s="13" t="n">
        <v>0.167</v>
      </c>
      <c r="N50" s="13" t="n">
        <v>27010.431</v>
      </c>
      <c r="O50" s="13" t="n">
        <v>372989.569</v>
      </c>
      <c r="P50" s="13" t="n">
        <v>-1212.679</v>
      </c>
    </row>
    <row r="51" ht="20" customHeight="1">
      <c r="A51" s="14" t="inlineStr"/>
      <c r="B51" s="15" t="inlineStr">
        <is>
          <t>Acc_DistillateStock</t>
        </is>
      </c>
      <c r="C51" s="16" t="inlineStr">
        <is>
          <t>Distillate Stock</t>
        </is>
      </c>
      <c r="D51" s="17" t="inlineStr">
        <is>
          <t>Total</t>
        </is>
      </c>
      <c r="E51" s="18">
        <f>E49+E50</f>
        <v/>
      </c>
      <c r="F51" s="18">
        <f>AVERAGE(F49,F50)</f>
        <v/>
      </c>
      <c r="G51" s="18">
        <f>G49+G50</f>
        <v/>
      </c>
      <c r="H51" s="18">
        <f>H49+H50</f>
        <v/>
      </c>
      <c r="I51" s="19" t="inlineStr"/>
      <c r="J51" s="18">
        <f>AVERAGE(J49,J50)</f>
        <v/>
      </c>
      <c r="K51" s="19" t="inlineStr"/>
      <c r="L51" s="18">
        <f>L49+L50</f>
        <v/>
      </c>
      <c r="M51" s="19" t="inlineStr"/>
      <c r="N51" s="18">
        <f>N49+N50</f>
        <v/>
      </c>
      <c r="O51" s="18">
        <f>O49+O50</f>
        <v/>
      </c>
      <c r="P51" s="18">
        <f>P49+P50</f>
        <v/>
      </c>
    </row>
    <row r="52" ht="20" customHeight="1">
      <c r="A52" s="3" t="inlineStr">
        <is>
          <t>10.  Acc_ExportDiesel  —  Export Diesel</t>
        </is>
      </c>
    </row>
    <row r="53" ht="18" customHeight="1">
      <c r="A53" s="4" t="inlineStr"/>
      <c r="B53" s="5" t="inlineStr">
        <is>
          <t>Acc_ExportDiesel</t>
        </is>
      </c>
      <c r="C53" s="6" t="inlineStr">
        <is>
          <t>Export Diesel</t>
        </is>
      </c>
      <c r="D53" s="7" t="inlineStr">
        <is>
          <t>TK56</t>
        </is>
      </c>
      <c r="E53" s="9" t="n">
        <v>55789.86</v>
      </c>
      <c r="F53" s="9" t="n">
        <v>38.094</v>
      </c>
      <c r="G53" s="9" t="n">
        <v>36134.428</v>
      </c>
      <c r="H53" s="9" t="n">
        <v>36300.32</v>
      </c>
      <c r="I53" s="9" t="n">
        <v>14.604</v>
      </c>
      <c r="J53" s="9" t="n">
        <v>38.044</v>
      </c>
      <c r="K53" s="9" t="n">
        <v>69.59999999999999</v>
      </c>
      <c r="L53" s="8" t="n">
        <v>0</v>
      </c>
      <c r="M53" s="8" t="n">
        <v>0</v>
      </c>
      <c r="N53" s="9" t="n">
        <v>36134.428</v>
      </c>
      <c r="O53" s="9" t="n">
        <v>363865.572</v>
      </c>
      <c r="P53" s="9" t="n">
        <v>-19655.432</v>
      </c>
    </row>
    <row r="54" ht="18" customHeight="1">
      <c r="A54" s="10" t="inlineStr"/>
      <c r="B54" s="10" t="inlineStr"/>
      <c r="C54" s="11" t="inlineStr"/>
      <c r="D54" s="12" t="inlineStr">
        <is>
          <t>TK57</t>
        </is>
      </c>
      <c r="E54" s="13" t="n">
        <v>17279.038</v>
      </c>
      <c r="F54" s="13" t="n">
        <v>37.839</v>
      </c>
      <c r="G54" s="13" t="n">
        <v>17327.599</v>
      </c>
      <c r="H54" s="13" t="n">
        <v>17286.63</v>
      </c>
      <c r="I54" s="13" t="n">
        <v>7.729</v>
      </c>
      <c r="J54" s="13" t="n">
        <v>37.797</v>
      </c>
      <c r="K54" s="20" t="n">
        <v>55</v>
      </c>
      <c r="L54" s="20" t="n">
        <v>0</v>
      </c>
      <c r="M54" s="20" t="n">
        <v>0</v>
      </c>
      <c r="N54" s="13" t="n">
        <v>17327.599</v>
      </c>
      <c r="O54" s="13" t="n">
        <v>382672.401</v>
      </c>
      <c r="P54" s="13" t="n">
        <v>48.561</v>
      </c>
    </row>
    <row r="55" ht="18" customHeight="1">
      <c r="A55" s="4" t="inlineStr"/>
      <c r="B55" s="4" t="inlineStr"/>
      <c r="C55" s="6" t="inlineStr"/>
      <c r="D55" s="7" t="inlineStr">
        <is>
          <t>TK58</t>
        </is>
      </c>
      <c r="E55" s="9" t="n">
        <v>39860.22</v>
      </c>
      <c r="F55" s="9" t="n">
        <v>37.605</v>
      </c>
      <c r="G55" s="9" t="n">
        <v>85852.503</v>
      </c>
      <c r="H55" s="9" t="n">
        <v>86682.05</v>
      </c>
      <c r="I55" s="9" t="n">
        <v>34.313</v>
      </c>
      <c r="J55" s="9" t="n">
        <v>37.517</v>
      </c>
      <c r="K55" s="9" t="n">
        <v>80.2</v>
      </c>
      <c r="L55" s="8" t="n">
        <v>0</v>
      </c>
      <c r="M55" s="8" t="n">
        <v>0</v>
      </c>
      <c r="N55" s="9" t="n">
        <v>85852.503</v>
      </c>
      <c r="O55" s="9" t="n">
        <v>314147.497</v>
      </c>
      <c r="P55" s="9" t="n">
        <v>45992.283</v>
      </c>
    </row>
    <row r="56" ht="18" customHeight="1">
      <c r="A56" s="10" t="inlineStr"/>
      <c r="B56" s="10" t="inlineStr"/>
      <c r="C56" s="11" t="inlineStr"/>
      <c r="D56" s="12" t="inlineStr">
        <is>
          <t>TK59</t>
        </is>
      </c>
      <c r="E56" s="13" t="n">
        <v>85676.15300000001</v>
      </c>
      <c r="F56" s="13" t="n">
        <v>37.5</v>
      </c>
      <c r="G56" s="13" t="n">
        <v>12246.656</v>
      </c>
      <c r="H56" s="13" t="n">
        <v>12336.59</v>
      </c>
      <c r="I56" s="13" t="n">
        <v>4.938</v>
      </c>
      <c r="J56" s="13" t="n">
        <v>37.5</v>
      </c>
      <c r="K56" s="13" t="n">
        <v>75.40000000000001</v>
      </c>
      <c r="L56" s="20" t="n">
        <v>0</v>
      </c>
      <c r="M56" s="20" t="n">
        <v>0</v>
      </c>
      <c r="N56" s="13" t="n">
        <v>12246.656</v>
      </c>
      <c r="O56" s="13" t="n">
        <v>387753.344</v>
      </c>
      <c r="P56" s="13" t="n">
        <v>-73429.496</v>
      </c>
    </row>
    <row r="57" ht="18" customHeight="1">
      <c r="A57" s="4" t="inlineStr"/>
      <c r="B57" s="4" t="inlineStr"/>
      <c r="C57" s="6" t="inlineStr"/>
      <c r="D57" s="7" t="inlineStr">
        <is>
          <t>TK60</t>
        </is>
      </c>
      <c r="E57" s="9" t="n">
        <v>92104.694</v>
      </c>
      <c r="F57" s="9" t="n">
        <v>40.17</v>
      </c>
      <c r="G57" s="9" t="n">
        <v>69422.448</v>
      </c>
      <c r="H57" s="9" t="n">
        <v>69605.50999999999</v>
      </c>
      <c r="I57" s="9" t="n">
        <v>27.563</v>
      </c>
      <c r="J57" s="9" t="n">
        <v>40.17</v>
      </c>
      <c r="K57" s="9" t="n">
        <v>65.40000000000001</v>
      </c>
      <c r="L57" s="8" t="n">
        <v>0</v>
      </c>
      <c r="M57" s="8" t="n">
        <v>0</v>
      </c>
      <c r="N57" s="9" t="n">
        <v>69422.448</v>
      </c>
      <c r="O57" s="9" t="n">
        <v>330577.552</v>
      </c>
      <c r="P57" s="9" t="n">
        <v>-22682.246</v>
      </c>
    </row>
    <row r="58" ht="20" customHeight="1">
      <c r="A58" s="14" t="inlineStr"/>
      <c r="B58" s="15" t="inlineStr">
        <is>
          <t>Acc_ExportDiesel</t>
        </is>
      </c>
      <c r="C58" s="16" t="inlineStr">
        <is>
          <t>Export Diesel</t>
        </is>
      </c>
      <c r="D58" s="17" t="inlineStr">
        <is>
          <t>Total</t>
        </is>
      </c>
      <c r="E58" s="18">
        <f>E53+E54+E55+E56+E57</f>
        <v/>
      </c>
      <c r="F58" s="18">
        <f>AVERAGE(F53,F54,F55,F56,F57)</f>
        <v/>
      </c>
      <c r="G58" s="18">
        <f>G53+G54+G55+G56+G57</f>
        <v/>
      </c>
      <c r="H58" s="18">
        <f>H53+H54+H55+H56+H57</f>
        <v/>
      </c>
      <c r="I58" s="19" t="inlineStr"/>
      <c r="J58" s="18">
        <f>AVERAGE(J53,J54,J55,J56,J57)</f>
        <v/>
      </c>
      <c r="K58" s="19" t="inlineStr"/>
      <c r="L58" s="18">
        <f>L53+L54+L55+L56+L57</f>
        <v/>
      </c>
      <c r="M58" s="19" t="inlineStr"/>
      <c r="N58" s="18">
        <f>N53+N54+N55+N56+N57</f>
        <v/>
      </c>
      <c r="O58" s="18">
        <f>O53+O54+O55+O56+O57</f>
        <v/>
      </c>
      <c r="P58" s="18">
        <f>P53+P54+P55+P56+P57</f>
        <v/>
      </c>
    </row>
    <row r="59" ht="20" customHeight="1">
      <c r="A59" s="3" t="inlineStr">
        <is>
          <t>11.  Acc_FuelOilBlndStck  —  Fuel Oil Blend Stock</t>
        </is>
      </c>
    </row>
    <row r="60" ht="18" customHeight="1">
      <c r="A60" s="4" t="inlineStr"/>
      <c r="B60" s="5" t="inlineStr">
        <is>
          <t>Acc_FuelOilBlndStck</t>
        </is>
      </c>
      <c r="C60" s="6" t="inlineStr">
        <is>
          <t>Fuel Oil Blend Stock</t>
        </is>
      </c>
      <c r="D60" s="7" t="inlineStr">
        <is>
          <t>TK152</t>
        </is>
      </c>
      <c r="E60" s="9" t="n">
        <v>4093.738</v>
      </c>
      <c r="F60" s="9" t="n">
        <v>14.1</v>
      </c>
      <c r="G60" s="9" t="n">
        <v>4096.833</v>
      </c>
      <c r="H60" s="8" t="n">
        <v>4118</v>
      </c>
      <c r="I60" s="9" t="n">
        <v>20.875</v>
      </c>
      <c r="J60" s="9" t="n">
        <v>14.1</v>
      </c>
      <c r="K60" s="9" t="n">
        <v>73.2</v>
      </c>
      <c r="L60" s="8" t="n">
        <v>399</v>
      </c>
      <c r="M60" s="8" t="n">
        <v>2</v>
      </c>
      <c r="N60" s="9" t="n">
        <v>4096.833</v>
      </c>
      <c r="O60" s="9" t="n">
        <v>395903.167</v>
      </c>
      <c r="P60" s="9" t="n">
        <v>3.096</v>
      </c>
    </row>
    <row r="61" ht="18" customHeight="1">
      <c r="A61" s="10" t="inlineStr"/>
      <c r="B61" s="10" t="inlineStr"/>
      <c r="C61" s="11" t="inlineStr"/>
      <c r="D61" s="12" t="inlineStr">
        <is>
          <t>TK84</t>
        </is>
      </c>
      <c r="E61" s="13" t="n">
        <v>45900.439</v>
      </c>
      <c r="F61" s="13" t="n">
        <v>12.6</v>
      </c>
      <c r="G61" s="13" t="n">
        <v>45591.117</v>
      </c>
      <c r="H61" s="13" t="n">
        <v>45615.75</v>
      </c>
      <c r="I61" s="13" t="n">
        <v>40.458</v>
      </c>
      <c r="J61" s="13" t="n">
        <v>12.6</v>
      </c>
      <c r="K61" s="13" t="n">
        <v>61.4</v>
      </c>
      <c r="L61" s="13" t="n">
        <v>85.86</v>
      </c>
      <c r="M61" s="13" t="n">
        <v>0.333</v>
      </c>
      <c r="N61" s="13" t="n">
        <v>45591.117</v>
      </c>
      <c r="O61" s="13" t="n">
        <v>354408.883</v>
      </c>
      <c r="P61" s="13" t="n">
        <v>-309.322</v>
      </c>
    </row>
    <row r="62" ht="20" customHeight="1">
      <c r="A62" s="14" t="inlineStr"/>
      <c r="B62" s="15" t="inlineStr">
        <is>
          <t>Acc_FuelOilBlndStck</t>
        </is>
      </c>
      <c r="C62" s="16" t="inlineStr">
        <is>
          <t>Fuel Oil Blend Stock</t>
        </is>
      </c>
      <c r="D62" s="17" t="inlineStr">
        <is>
          <t>Total</t>
        </is>
      </c>
      <c r="E62" s="18">
        <f>E60+E61</f>
        <v/>
      </c>
      <c r="F62" s="18">
        <f>AVERAGE(F60,F61)</f>
        <v/>
      </c>
      <c r="G62" s="18">
        <f>G60+G61</f>
        <v/>
      </c>
      <c r="H62" s="18">
        <f>H60+H61</f>
        <v/>
      </c>
      <c r="I62" s="19" t="inlineStr"/>
      <c r="J62" s="18">
        <f>AVERAGE(J60,J61)</f>
        <v/>
      </c>
      <c r="K62" s="19" t="inlineStr"/>
      <c r="L62" s="18">
        <f>L60+L61</f>
        <v/>
      </c>
      <c r="M62" s="19" t="inlineStr"/>
      <c r="N62" s="18">
        <f>N60+N61</f>
        <v/>
      </c>
      <c r="O62" s="18">
        <f>O60+O61</f>
        <v/>
      </c>
      <c r="P62" s="18">
        <f>P60+P61</f>
        <v/>
      </c>
    </row>
    <row r="63" ht="20" customHeight="1">
      <c r="A63" s="3" t="inlineStr">
        <is>
          <t>12.  Acc_HighSulSlurry  —  High Sulfur Slurry</t>
        </is>
      </c>
    </row>
    <row r="64" ht="18" customHeight="1">
      <c r="A64" s="4" t="inlineStr"/>
      <c r="B64" s="5" t="inlineStr">
        <is>
          <t>Acc_HighSulSlurry</t>
        </is>
      </c>
      <c r="C64" s="6" t="inlineStr">
        <is>
          <t>High Sulfur Slurry</t>
        </is>
      </c>
      <c r="D64" s="7" t="inlineStr">
        <is>
          <t>TK22</t>
        </is>
      </c>
      <c r="E64" s="9" t="n">
        <v>35967.952</v>
      </c>
      <c r="F64" s="9" t="n">
        <v>-2.7</v>
      </c>
      <c r="G64" s="9" t="n">
        <v>44790.481</v>
      </c>
      <c r="H64" s="9" t="n">
        <v>45279.5</v>
      </c>
      <c r="I64" s="9" t="n">
        <v>23.771</v>
      </c>
      <c r="J64" s="9" t="n">
        <v>-2.7</v>
      </c>
      <c r="K64" s="9" t="n">
        <v>92.40000000000001</v>
      </c>
      <c r="L64" s="8" t="n">
        <v>0</v>
      </c>
      <c r="M64" s="8" t="n">
        <v>0</v>
      </c>
      <c r="N64" s="9" t="n">
        <v>44790.481</v>
      </c>
      <c r="O64" s="9" t="n">
        <v>355209.519</v>
      </c>
      <c r="P64" s="9" t="n">
        <v>8822.530000000001</v>
      </c>
    </row>
    <row r="65" ht="20" customHeight="1">
      <c r="A65" s="14" t="inlineStr"/>
      <c r="B65" s="15" t="inlineStr">
        <is>
          <t>Acc_HighSulSlurry</t>
        </is>
      </c>
      <c r="C65" s="16" t="inlineStr">
        <is>
          <t>High Sulfur Slurry</t>
        </is>
      </c>
      <c r="D65" s="17" t="inlineStr">
        <is>
          <t>Total</t>
        </is>
      </c>
      <c r="E65" s="18">
        <f>E64</f>
        <v/>
      </c>
      <c r="F65" s="18">
        <f>AVERAGE(F64)</f>
        <v/>
      </c>
      <c r="G65" s="18">
        <f>G64</f>
        <v/>
      </c>
      <c r="H65" s="18">
        <f>H64</f>
        <v/>
      </c>
      <c r="I65" s="19" t="inlineStr"/>
      <c r="J65" s="18">
        <f>AVERAGE(J64)</f>
        <v/>
      </c>
      <c r="K65" s="19" t="inlineStr"/>
      <c r="L65" s="18">
        <f>L64</f>
        <v/>
      </c>
      <c r="M65" s="19" t="inlineStr"/>
      <c r="N65" s="18">
        <f>N64</f>
        <v/>
      </c>
      <c r="O65" s="18">
        <f>O64</f>
        <v/>
      </c>
      <c r="P65" s="18">
        <f>P64</f>
        <v/>
      </c>
    </row>
    <row r="66" ht="20" customHeight="1">
      <c r="A66" s="3" t="inlineStr">
        <is>
          <t>13.  Acc_HSFO  —  High Sulfur Fuel Oil</t>
        </is>
      </c>
    </row>
    <row r="67" ht="18" customHeight="1">
      <c r="A67" s="4" t="inlineStr"/>
      <c r="B67" s="5" t="inlineStr">
        <is>
          <t>Acc_HSFO</t>
        </is>
      </c>
      <c r="C67" s="6" t="inlineStr">
        <is>
          <t>High Sulfur Fuel Oil</t>
        </is>
      </c>
      <c r="D67" s="7" t="inlineStr">
        <is>
          <t>TK23</t>
        </is>
      </c>
      <c r="E67" s="9" t="n">
        <v>10391.643</v>
      </c>
      <c r="F67" s="9" t="n">
        <v>6.2</v>
      </c>
      <c r="G67" s="9" t="n">
        <v>10407.047</v>
      </c>
      <c r="H67" s="9" t="n">
        <v>10550.32</v>
      </c>
      <c r="I67" s="9" t="n">
        <v>5.646</v>
      </c>
      <c r="J67" s="9" t="n">
        <v>6.2</v>
      </c>
      <c r="K67" s="9" t="n">
        <v>97.40000000000001</v>
      </c>
      <c r="L67" s="8" t="n">
        <v>0</v>
      </c>
      <c r="M67" s="8" t="n">
        <v>0</v>
      </c>
      <c r="N67" s="9" t="n">
        <v>10407.047</v>
      </c>
      <c r="O67" s="9" t="n">
        <v>389592.953</v>
      </c>
      <c r="P67" s="9" t="n">
        <v>15.403</v>
      </c>
    </row>
    <row r="68" ht="20" customHeight="1">
      <c r="A68" s="14" t="inlineStr"/>
      <c r="B68" s="15" t="inlineStr">
        <is>
          <t>Acc_HSFO</t>
        </is>
      </c>
      <c r="C68" s="16" t="inlineStr">
        <is>
          <t>High Sulfur Fuel Oil</t>
        </is>
      </c>
      <c r="D68" s="17" t="inlineStr">
        <is>
          <t>Total</t>
        </is>
      </c>
      <c r="E68" s="18">
        <f>E67</f>
        <v/>
      </c>
      <c r="F68" s="18">
        <f>AVERAGE(F67)</f>
        <v/>
      </c>
      <c r="G68" s="18">
        <f>G67</f>
        <v/>
      </c>
      <c r="H68" s="18">
        <f>H67</f>
        <v/>
      </c>
      <c r="I68" s="19" t="inlineStr"/>
      <c r="J68" s="18">
        <f>AVERAGE(J67)</f>
        <v/>
      </c>
      <c r="K68" s="19" t="inlineStr"/>
      <c r="L68" s="18">
        <f>L67</f>
        <v/>
      </c>
      <c r="M68" s="19" t="inlineStr"/>
      <c r="N68" s="18">
        <f>N67</f>
        <v/>
      </c>
      <c r="O68" s="18">
        <f>O67</f>
        <v/>
      </c>
      <c r="P68" s="18">
        <f>P67</f>
        <v/>
      </c>
    </row>
    <row r="69" ht="20" customHeight="1">
      <c r="A69" s="3" t="inlineStr">
        <is>
          <t>14.  Acc_HSVGO  —  High Sulfur Vaccum Gas Oil</t>
        </is>
      </c>
    </row>
    <row r="70" ht="18" customHeight="1">
      <c r="A70" s="4" t="inlineStr"/>
      <c r="B70" s="5" t="inlineStr">
        <is>
          <t>Acc_HSVGO</t>
        </is>
      </c>
      <c r="C70" s="6" t="inlineStr">
        <is>
          <t>High Sulfur Vaccum Gas Oil</t>
        </is>
      </c>
      <c r="D70" s="7" t="inlineStr">
        <is>
          <t>TK24</t>
        </is>
      </c>
      <c r="E70" s="9" t="n">
        <v>46029.898</v>
      </c>
      <c r="F70" s="9" t="n">
        <v>19.84</v>
      </c>
      <c r="G70" s="9" t="n">
        <v>39922.623</v>
      </c>
      <c r="H70" s="9" t="n">
        <v>40159.16</v>
      </c>
      <c r="I70" s="9" t="n">
        <v>20.24</v>
      </c>
      <c r="J70" s="9" t="n">
        <v>19.84</v>
      </c>
      <c r="K70" s="9" t="n">
        <v>74.40000000000001</v>
      </c>
      <c r="L70" s="8" t="n">
        <v>0</v>
      </c>
      <c r="M70" s="8" t="n">
        <v>0</v>
      </c>
      <c r="N70" s="9" t="n">
        <v>39922.623</v>
      </c>
      <c r="O70" s="9" t="n">
        <v>360077.377</v>
      </c>
      <c r="P70" s="9" t="n">
        <v>-6107.275</v>
      </c>
    </row>
    <row r="71" ht="18" customHeight="1">
      <c r="A71" s="10" t="inlineStr"/>
      <c r="B71" s="10" t="inlineStr"/>
      <c r="C71" s="11" t="inlineStr"/>
      <c r="D71" s="12" t="inlineStr">
        <is>
          <t>TK25</t>
        </is>
      </c>
      <c r="E71" s="13" t="n">
        <v>40295.71</v>
      </c>
      <c r="F71" s="13" t="n">
        <v>21.81</v>
      </c>
      <c r="G71" s="13" t="n">
        <v>34670.739</v>
      </c>
      <c r="H71" s="13" t="n">
        <v>35047.5</v>
      </c>
      <c r="I71" s="13" t="n">
        <v>17.594</v>
      </c>
      <c r="J71" s="13" t="n">
        <v>21.81</v>
      </c>
      <c r="K71" s="13" t="n">
        <v>85.8</v>
      </c>
      <c r="L71" s="20" t="n">
        <v>0</v>
      </c>
      <c r="M71" s="20" t="n">
        <v>0</v>
      </c>
      <c r="N71" s="13" t="n">
        <v>34670.739</v>
      </c>
      <c r="O71" s="13" t="n">
        <v>365329.261</v>
      </c>
      <c r="P71" s="13" t="n">
        <v>-5624.971</v>
      </c>
    </row>
    <row r="72" ht="18" customHeight="1">
      <c r="A72" s="4" t="inlineStr"/>
      <c r="B72" s="4" t="inlineStr"/>
      <c r="C72" s="6" t="inlineStr"/>
      <c r="D72" s="7" t="inlineStr">
        <is>
          <t>TK26</t>
        </is>
      </c>
      <c r="E72" s="9" t="n">
        <v>38341.709</v>
      </c>
      <c r="F72" s="9" t="n">
        <v>19.72</v>
      </c>
      <c r="G72" s="9" t="n">
        <v>33474.392</v>
      </c>
      <c r="H72" s="9" t="n">
        <v>33786.58</v>
      </c>
      <c r="I72" s="9" t="n">
        <v>17.021</v>
      </c>
      <c r="J72" s="9" t="n">
        <v>19.72</v>
      </c>
      <c r="K72" s="9" t="n">
        <v>82.59999999999999</v>
      </c>
      <c r="L72" s="8" t="n">
        <v>0</v>
      </c>
      <c r="M72" s="8" t="n">
        <v>0</v>
      </c>
      <c r="N72" s="9" t="n">
        <v>33474.392</v>
      </c>
      <c r="O72" s="9" t="n">
        <v>366525.608</v>
      </c>
      <c r="P72" s="9" t="n">
        <v>-4867.317</v>
      </c>
    </row>
    <row r="73" ht="18" customHeight="1">
      <c r="A73" s="10" t="inlineStr"/>
      <c r="B73" s="10" t="inlineStr"/>
      <c r="C73" s="11" t="inlineStr"/>
      <c r="D73" s="12" t="inlineStr">
        <is>
          <t>TK61</t>
        </is>
      </c>
      <c r="E73" s="13" t="n">
        <v>70019.056</v>
      </c>
      <c r="F73" s="13" t="n">
        <v>19.03</v>
      </c>
      <c r="G73" s="13" t="n">
        <v>72690.823</v>
      </c>
      <c r="H73" s="13" t="n">
        <v>75202.59</v>
      </c>
      <c r="I73" s="13" t="n">
        <v>29.958</v>
      </c>
      <c r="J73" s="13" t="n">
        <v>19.03</v>
      </c>
      <c r="K73" s="13" t="n">
        <v>141.6</v>
      </c>
      <c r="L73" s="20" t="n">
        <v>0</v>
      </c>
      <c r="M73" s="20" t="n">
        <v>0</v>
      </c>
      <c r="N73" s="13" t="n">
        <v>72690.823</v>
      </c>
      <c r="O73" s="13" t="n">
        <v>327309.177</v>
      </c>
      <c r="P73" s="13" t="n">
        <v>2671.767</v>
      </c>
    </row>
    <row r="74" ht="20" customHeight="1">
      <c r="A74" s="14" t="inlineStr"/>
      <c r="B74" s="15" t="inlineStr">
        <is>
          <t>Acc_HSVGO</t>
        </is>
      </c>
      <c r="C74" s="16" t="inlineStr">
        <is>
          <t>High Sulfur Vaccum Gas Oil</t>
        </is>
      </c>
      <c r="D74" s="17" t="inlineStr">
        <is>
          <t>Total</t>
        </is>
      </c>
      <c r="E74" s="18">
        <f>E70+E71+E72+E73</f>
        <v/>
      </c>
      <c r="F74" s="18">
        <f>AVERAGE(F70,F71,F72,F73)</f>
        <v/>
      </c>
      <c r="G74" s="18">
        <f>G70+G71+G72+G73</f>
        <v/>
      </c>
      <c r="H74" s="18">
        <f>H70+H71+H72+H73</f>
        <v/>
      </c>
      <c r="I74" s="19" t="inlineStr"/>
      <c r="J74" s="18">
        <f>AVERAGE(J70,J71,J72,J73)</f>
        <v/>
      </c>
      <c r="K74" s="19" t="inlineStr"/>
      <c r="L74" s="18">
        <f>L70+L71+L72+L73</f>
        <v/>
      </c>
      <c r="M74" s="19" t="inlineStr"/>
      <c r="N74" s="18">
        <f>N70+N71+N72+N73</f>
        <v/>
      </c>
      <c r="O74" s="18">
        <f>O70+O71+O72+O73</f>
        <v/>
      </c>
      <c r="P74" s="18">
        <f>P70+P71+P72+P73</f>
        <v/>
      </c>
    </row>
    <row r="75" ht="20" customHeight="1">
      <c r="A75" s="3" t="inlineStr">
        <is>
          <t>15.  Acc_HvyCatGasoline  —  Heavy Cat Gasoline</t>
        </is>
      </c>
    </row>
    <row r="76" ht="18" customHeight="1">
      <c r="A76" s="4" t="inlineStr"/>
      <c r="B76" s="5" t="inlineStr">
        <is>
          <t>Acc_HvyCatGasoline</t>
        </is>
      </c>
      <c r="C76" s="6" t="inlineStr">
        <is>
          <t>Heavy Cat Gasoline</t>
        </is>
      </c>
      <c r="D76" s="7" t="inlineStr">
        <is>
          <t>TK71</t>
        </is>
      </c>
      <c r="E76" s="9" t="n">
        <v>78992.317</v>
      </c>
      <c r="F76" s="9" t="n">
        <v>76.90000000000001</v>
      </c>
      <c r="G76" s="9" t="n">
        <v>71040.49400000001</v>
      </c>
      <c r="H76" s="9" t="n">
        <v>71757.35000000001</v>
      </c>
      <c r="I76" s="9" t="n">
        <v>29.042</v>
      </c>
      <c r="J76" s="9" t="n">
        <v>76.90000000000001</v>
      </c>
      <c r="K76" s="9" t="n">
        <v>72.8</v>
      </c>
      <c r="L76" s="8" t="n">
        <v>0</v>
      </c>
      <c r="M76" s="8" t="n">
        <v>0</v>
      </c>
      <c r="N76" s="9" t="n">
        <v>71040.49400000001</v>
      </c>
      <c r="O76" s="9" t="n">
        <v>328959.506</v>
      </c>
      <c r="P76" s="9" t="n">
        <v>-7951.823</v>
      </c>
    </row>
    <row r="77" ht="20" customHeight="1">
      <c r="A77" s="14" t="inlineStr"/>
      <c r="B77" s="15" t="inlineStr">
        <is>
          <t>Acc_HvyCatGasoline</t>
        </is>
      </c>
      <c r="C77" s="16" t="inlineStr">
        <is>
          <t>Heavy Cat Gasoline</t>
        </is>
      </c>
      <c r="D77" s="17" t="inlineStr">
        <is>
          <t>Total</t>
        </is>
      </c>
      <c r="E77" s="18">
        <f>E76</f>
        <v/>
      </c>
      <c r="F77" s="18">
        <f>AVERAGE(F76)</f>
        <v/>
      </c>
      <c r="G77" s="18">
        <f>G76</f>
        <v/>
      </c>
      <c r="H77" s="18">
        <f>H76</f>
        <v/>
      </c>
      <c r="I77" s="19" t="inlineStr"/>
      <c r="J77" s="18">
        <f>AVERAGE(J76)</f>
        <v/>
      </c>
      <c r="K77" s="19" t="inlineStr"/>
      <c r="L77" s="18">
        <f>L76</f>
        <v/>
      </c>
      <c r="M77" s="19" t="inlineStr"/>
      <c r="N77" s="18">
        <f>N76</f>
        <v/>
      </c>
      <c r="O77" s="18">
        <f>O76</f>
        <v/>
      </c>
      <c r="P77" s="18">
        <f>P76</f>
        <v/>
      </c>
    </row>
    <row r="78" ht="20" customHeight="1">
      <c r="A78" s="3" t="inlineStr">
        <is>
          <t>16.  Acc_Isobutane  —  Isobutane</t>
        </is>
      </c>
    </row>
    <row r="79" ht="18" customHeight="1">
      <c r="A79" s="4" t="inlineStr"/>
      <c r="B79" s="5" t="inlineStr">
        <is>
          <t>Acc_Isobutane</t>
        </is>
      </c>
      <c r="C79" s="6" t="inlineStr">
        <is>
          <t>Isobutane</t>
        </is>
      </c>
      <c r="D79" s="7" t="inlineStr">
        <is>
          <t>TK88</t>
        </is>
      </c>
      <c r="E79" s="9" t="n">
        <v>3459.2</v>
      </c>
      <c r="F79" s="9" t="n">
        <v>119.8</v>
      </c>
      <c r="G79" s="9" t="n">
        <v>3864.06</v>
      </c>
      <c r="H79" s="9" t="n">
        <v>3864.06</v>
      </c>
      <c r="I79" s="9" t="n">
        <v>17.896</v>
      </c>
      <c r="J79" s="9" t="n">
        <v>119.8</v>
      </c>
      <c r="K79" s="9" t="n">
        <v>66.961</v>
      </c>
      <c r="L79" s="8" t="n">
        <v>0</v>
      </c>
      <c r="M79" s="8" t="n">
        <v>0</v>
      </c>
      <c r="N79" s="9" t="n">
        <v>3864.06</v>
      </c>
      <c r="O79" s="9" t="n">
        <v>396135.94</v>
      </c>
      <c r="P79" s="9" t="n">
        <v>404.86</v>
      </c>
    </row>
    <row r="80" ht="18" customHeight="1">
      <c r="A80" s="10" t="inlineStr"/>
      <c r="B80" s="10" t="inlineStr"/>
      <c r="C80" s="11" t="inlineStr"/>
      <c r="D80" s="12" t="inlineStr">
        <is>
          <t>TK89</t>
        </is>
      </c>
      <c r="E80" s="13" t="n">
        <v>3492.78</v>
      </c>
      <c r="F80" s="13" t="n">
        <v>119.61</v>
      </c>
      <c r="G80" s="13" t="n">
        <v>2901.49</v>
      </c>
      <c r="H80" s="13" t="n">
        <v>2901.49</v>
      </c>
      <c r="I80" s="13" t="n">
        <v>15.061</v>
      </c>
      <c r="J80" s="13" t="n">
        <v>119.61</v>
      </c>
      <c r="K80" s="13" t="n">
        <v>65.872</v>
      </c>
      <c r="L80" s="20" t="n">
        <v>0</v>
      </c>
      <c r="M80" s="20" t="n">
        <v>0</v>
      </c>
      <c r="N80" s="13" t="n">
        <v>2901.49</v>
      </c>
      <c r="O80" s="13" t="n">
        <v>397098.51</v>
      </c>
      <c r="P80" s="13" t="n">
        <v>-591.29</v>
      </c>
    </row>
    <row r="81" ht="20" customHeight="1">
      <c r="A81" s="14" t="inlineStr"/>
      <c r="B81" s="15" t="inlineStr">
        <is>
          <t>Acc_Isobutane</t>
        </is>
      </c>
      <c r="C81" s="16" t="inlineStr">
        <is>
          <t>Isobutane</t>
        </is>
      </c>
      <c r="D81" s="17" t="inlineStr">
        <is>
          <t>Total</t>
        </is>
      </c>
      <c r="E81" s="18">
        <f>E79+E80</f>
        <v/>
      </c>
      <c r="F81" s="18">
        <f>AVERAGE(F79,F80)</f>
        <v/>
      </c>
      <c r="G81" s="18">
        <f>G79+G80</f>
        <v/>
      </c>
      <c r="H81" s="18">
        <f>H79+H80</f>
        <v/>
      </c>
      <c r="I81" s="19" t="inlineStr"/>
      <c r="J81" s="18">
        <f>AVERAGE(J79,J80)</f>
        <v/>
      </c>
      <c r="K81" s="19" t="inlineStr"/>
      <c r="L81" s="18">
        <f>L79+L80</f>
        <v/>
      </c>
      <c r="M81" s="19" t="inlineStr"/>
      <c r="N81" s="18">
        <f>N79+N80</f>
        <v/>
      </c>
      <c r="O81" s="18">
        <f>O79+O80</f>
        <v/>
      </c>
      <c r="P81" s="18">
        <f>P79+P80</f>
        <v/>
      </c>
    </row>
    <row r="82" ht="20" customHeight="1">
      <c r="A82" s="3" t="inlineStr">
        <is>
          <t>17.  Acc_Isomerate  —  Isomerate</t>
        </is>
      </c>
    </row>
    <row r="83" ht="18" customHeight="1">
      <c r="A83" s="4" t="inlineStr"/>
      <c r="B83" s="5" t="inlineStr">
        <is>
          <t>Acc_Isomerate</t>
        </is>
      </c>
      <c r="C83" s="6" t="inlineStr">
        <is>
          <t>Isomerate</t>
        </is>
      </c>
      <c r="D83" s="7" t="inlineStr">
        <is>
          <t>TK69</t>
        </is>
      </c>
      <c r="E83" s="9" t="n">
        <v>59946.676</v>
      </c>
      <c r="F83" s="9" t="n">
        <v>79.59999999999999</v>
      </c>
      <c r="G83" s="9" t="n">
        <v>57230.086</v>
      </c>
      <c r="H83" s="9" t="n">
        <v>57735.27</v>
      </c>
      <c r="I83" s="9" t="n">
        <v>23.438</v>
      </c>
      <c r="J83" s="9" t="n">
        <v>79.59999999999999</v>
      </c>
      <c r="K83" s="8" t="n">
        <v>71</v>
      </c>
      <c r="L83" s="8" t="n">
        <v>157</v>
      </c>
      <c r="M83" s="9" t="n">
        <v>0.25</v>
      </c>
      <c r="N83" s="9" t="n">
        <v>57230.086</v>
      </c>
      <c r="O83" s="9" t="n">
        <v>342769.914</v>
      </c>
      <c r="P83" s="9" t="n">
        <v>-2716.59</v>
      </c>
    </row>
    <row r="84" ht="18" customHeight="1">
      <c r="A84" s="10" t="inlineStr"/>
      <c r="B84" s="10" t="inlineStr"/>
      <c r="C84" s="11" t="inlineStr"/>
      <c r="D84" s="12" t="inlineStr">
        <is>
          <t>TK70</t>
        </is>
      </c>
      <c r="E84" s="13" t="n">
        <v>55419.468</v>
      </c>
      <c r="F84" s="13" t="n">
        <v>79.59999999999999</v>
      </c>
      <c r="G84" s="13" t="n">
        <v>54812.998</v>
      </c>
      <c r="H84" s="20" t="n">
        <v>55279</v>
      </c>
      <c r="I84" s="13" t="n">
        <v>22.375</v>
      </c>
      <c r="J84" s="13" t="n">
        <v>79.59999999999999</v>
      </c>
      <c r="K84" s="13" t="n">
        <v>70.59999999999999</v>
      </c>
      <c r="L84" s="20" t="n">
        <v>0</v>
      </c>
      <c r="M84" s="20" t="n">
        <v>0</v>
      </c>
      <c r="N84" s="13" t="n">
        <v>54812.998</v>
      </c>
      <c r="O84" s="13" t="n">
        <v>345187.002</v>
      </c>
      <c r="P84" s="13" t="n">
        <v>-606.47</v>
      </c>
    </row>
    <row r="85" ht="20" customHeight="1">
      <c r="A85" s="14" t="inlineStr"/>
      <c r="B85" s="15" t="inlineStr">
        <is>
          <t>Acc_Isomerate</t>
        </is>
      </c>
      <c r="C85" s="16" t="inlineStr">
        <is>
          <t>Isomerate</t>
        </is>
      </c>
      <c r="D85" s="17" t="inlineStr">
        <is>
          <t>Total</t>
        </is>
      </c>
      <c r="E85" s="18">
        <f>E83+E84</f>
        <v/>
      </c>
      <c r="F85" s="18">
        <f>AVERAGE(F83,F84)</f>
        <v/>
      </c>
      <c r="G85" s="18">
        <f>G83+G84</f>
        <v/>
      </c>
      <c r="H85" s="18">
        <f>H83+H84</f>
        <v/>
      </c>
      <c r="I85" s="19" t="inlineStr"/>
      <c r="J85" s="18">
        <f>AVERAGE(J83,J84)</f>
        <v/>
      </c>
      <c r="K85" s="19" t="inlineStr"/>
      <c r="L85" s="18">
        <f>L83+L84</f>
        <v/>
      </c>
      <c r="M85" s="19" t="inlineStr"/>
      <c r="N85" s="18">
        <f>N83+N84</f>
        <v/>
      </c>
      <c r="O85" s="18">
        <f>O83+O84</f>
        <v/>
      </c>
      <c r="P85" s="18">
        <f>P83+P84</f>
        <v/>
      </c>
    </row>
    <row r="86" ht="20" customHeight="1">
      <c r="A86" s="3" t="inlineStr">
        <is>
          <t>18.  Acc_JetBlendstock  —  Jet fuel Blendstock</t>
        </is>
      </c>
    </row>
    <row r="87" ht="18" customHeight="1">
      <c r="A87" s="4" t="inlineStr"/>
      <c r="B87" s="5" t="inlineStr">
        <is>
          <t>Acc_JetBlendstock</t>
        </is>
      </c>
      <c r="C87" s="6" t="inlineStr">
        <is>
          <t>Jet fuel Blendstock</t>
        </is>
      </c>
      <c r="D87" s="7" t="inlineStr">
        <is>
          <t>TK4</t>
        </is>
      </c>
      <c r="E87" s="9" t="n">
        <v>30275.508</v>
      </c>
      <c r="F87" s="9" t="n">
        <v>41.48</v>
      </c>
      <c r="G87" s="9" t="n">
        <v>29746.635</v>
      </c>
      <c r="H87" s="9" t="n">
        <v>30038.61</v>
      </c>
      <c r="I87" s="9" t="n">
        <v>16.229</v>
      </c>
      <c r="J87" s="9" t="n">
        <v>41.48</v>
      </c>
      <c r="K87" s="9" t="n">
        <v>79.59999999999999</v>
      </c>
      <c r="L87" s="8" t="n">
        <v>0</v>
      </c>
      <c r="M87" s="8" t="n">
        <v>0</v>
      </c>
      <c r="N87" s="9" t="n">
        <v>29746.635</v>
      </c>
      <c r="O87" s="9" t="n">
        <v>370253.365</v>
      </c>
      <c r="P87" s="9" t="n">
        <v>-528.873</v>
      </c>
    </row>
    <row r="88" ht="20" customHeight="1">
      <c r="A88" s="14" t="inlineStr"/>
      <c r="B88" s="15" t="inlineStr">
        <is>
          <t>Acc_JetBlendstock</t>
        </is>
      </c>
      <c r="C88" s="16" t="inlineStr">
        <is>
          <t>Jet fuel Blendstock</t>
        </is>
      </c>
      <c r="D88" s="17" t="inlineStr">
        <is>
          <t>Total</t>
        </is>
      </c>
      <c r="E88" s="18">
        <f>E87</f>
        <v/>
      </c>
      <c r="F88" s="18">
        <f>AVERAGE(F87)</f>
        <v/>
      </c>
      <c r="G88" s="18">
        <f>G87</f>
        <v/>
      </c>
      <c r="H88" s="18">
        <f>H87</f>
        <v/>
      </c>
      <c r="I88" s="19" t="inlineStr"/>
      <c r="J88" s="18">
        <f>AVERAGE(J87)</f>
        <v/>
      </c>
      <c r="K88" s="19" t="inlineStr"/>
      <c r="L88" s="18">
        <f>L87</f>
        <v/>
      </c>
      <c r="M88" s="19" t="inlineStr"/>
      <c r="N88" s="18">
        <f>N87</f>
        <v/>
      </c>
      <c r="O88" s="18">
        <f>O87</f>
        <v/>
      </c>
      <c r="P88" s="18">
        <f>P87</f>
        <v/>
      </c>
    </row>
    <row r="89" ht="20" customHeight="1">
      <c r="A89" s="3" t="inlineStr">
        <is>
          <t>19.  Acc_JetFuel  —  Jet Fuel</t>
        </is>
      </c>
    </row>
    <row r="90" ht="18" customHeight="1">
      <c r="A90" s="4" t="inlineStr"/>
      <c r="B90" s="5" t="inlineStr">
        <is>
          <t>Acc_JetFuel</t>
        </is>
      </c>
      <c r="C90" s="6" t="inlineStr">
        <is>
          <t>Jet Fuel</t>
        </is>
      </c>
      <c r="D90" s="7" t="inlineStr">
        <is>
          <t>TK32</t>
        </is>
      </c>
      <c r="E90" s="9" t="n">
        <v>65146.362</v>
      </c>
      <c r="F90" s="9" t="n">
        <v>41.321</v>
      </c>
      <c r="G90" s="9" t="n">
        <v>64962.848</v>
      </c>
      <c r="H90" s="9" t="n">
        <v>65428.7</v>
      </c>
      <c r="I90" s="9" t="n">
        <v>34.688</v>
      </c>
      <c r="J90" s="9" t="n">
        <v>41.269</v>
      </c>
      <c r="K90" s="9" t="n">
        <v>74.40000000000001</v>
      </c>
      <c r="L90" s="8" t="n">
        <v>0</v>
      </c>
      <c r="M90" s="8" t="n">
        <v>0</v>
      </c>
      <c r="N90" s="9" t="n">
        <v>64962.848</v>
      </c>
      <c r="O90" s="9" t="n">
        <v>335037.152</v>
      </c>
      <c r="P90" s="9" t="n">
        <v>-183.514</v>
      </c>
    </row>
    <row r="91" ht="18" customHeight="1">
      <c r="A91" s="10" t="inlineStr"/>
      <c r="B91" s="10" t="inlineStr"/>
      <c r="C91" s="11" t="inlineStr"/>
      <c r="D91" s="12" t="inlineStr">
        <is>
          <t>TK33</t>
        </is>
      </c>
      <c r="E91" s="13" t="n">
        <v>12953.649</v>
      </c>
      <c r="F91" s="13" t="n">
        <v>41.387</v>
      </c>
      <c r="G91" s="13" t="n">
        <v>58884.872</v>
      </c>
      <c r="H91" s="20" t="n">
        <v>59343</v>
      </c>
      <c r="I91" s="13" t="n">
        <v>31.375</v>
      </c>
      <c r="J91" s="13" t="n">
        <v>41.309</v>
      </c>
      <c r="K91" s="13" t="n">
        <v>75.59999999999999</v>
      </c>
      <c r="L91" s="20" t="n">
        <v>0</v>
      </c>
      <c r="M91" s="20" t="n">
        <v>0</v>
      </c>
      <c r="N91" s="13" t="n">
        <v>58884.872</v>
      </c>
      <c r="O91" s="13" t="n">
        <v>341115.128</v>
      </c>
      <c r="P91" s="13" t="n">
        <v>45931.223</v>
      </c>
    </row>
    <row r="92" ht="18" customHeight="1">
      <c r="A92" s="4" t="inlineStr"/>
      <c r="B92" s="4" t="inlineStr"/>
      <c r="C92" s="6" t="inlineStr"/>
      <c r="D92" s="7" t="inlineStr">
        <is>
          <t>TK34</t>
        </is>
      </c>
      <c r="E92" s="9" t="n">
        <v>45650.171</v>
      </c>
      <c r="F92" s="9" t="n">
        <v>41.595</v>
      </c>
      <c r="G92" s="9" t="n">
        <v>74196.58</v>
      </c>
      <c r="H92" s="9" t="n">
        <v>74321.44</v>
      </c>
      <c r="I92" s="9" t="n">
        <v>29.896</v>
      </c>
      <c r="J92" s="9" t="n">
        <v>41.497</v>
      </c>
      <c r="K92" s="9" t="n">
        <v>63.4</v>
      </c>
      <c r="L92" s="8" t="n">
        <v>0</v>
      </c>
      <c r="M92" s="8" t="n">
        <v>0</v>
      </c>
      <c r="N92" s="9" t="n">
        <v>74196.58</v>
      </c>
      <c r="O92" s="9" t="n">
        <v>325803.42</v>
      </c>
      <c r="P92" s="9" t="n">
        <v>28546.409</v>
      </c>
    </row>
    <row r="93" ht="18" customHeight="1">
      <c r="A93" s="10" t="inlineStr"/>
      <c r="B93" s="10" t="inlineStr"/>
      <c r="C93" s="11" t="inlineStr"/>
      <c r="D93" s="12" t="inlineStr">
        <is>
          <t>TK40</t>
        </is>
      </c>
      <c r="E93" s="13" t="n">
        <v>50191.36</v>
      </c>
      <c r="F93" s="13" t="n">
        <v>41.06</v>
      </c>
      <c r="G93" s="13" t="n">
        <v>37354.949</v>
      </c>
      <c r="H93" s="13" t="n">
        <v>37484.27</v>
      </c>
      <c r="I93" s="13" t="n">
        <v>15.094</v>
      </c>
      <c r="J93" s="13" t="n">
        <v>40.96</v>
      </c>
      <c r="K93" s="20" t="n">
        <v>67</v>
      </c>
      <c r="L93" s="20" t="n">
        <v>0</v>
      </c>
      <c r="M93" s="20" t="n">
        <v>0</v>
      </c>
      <c r="N93" s="13" t="n">
        <v>37354.949</v>
      </c>
      <c r="O93" s="13" t="n">
        <v>362645.051</v>
      </c>
      <c r="P93" s="13" t="n">
        <v>-12836.411</v>
      </c>
    </row>
    <row r="94" ht="18" customHeight="1">
      <c r="A94" s="4" t="inlineStr"/>
      <c r="B94" s="4" t="inlineStr"/>
      <c r="C94" s="6" t="inlineStr"/>
      <c r="D94" s="7" t="inlineStr">
        <is>
          <t>TK44</t>
        </is>
      </c>
      <c r="E94" s="9" t="n">
        <v>78315.00199999999</v>
      </c>
      <c r="F94" s="9" t="n">
        <v>41.254</v>
      </c>
      <c r="G94" s="9" t="n">
        <v>40292.43</v>
      </c>
      <c r="H94" s="9" t="n">
        <v>40512.82</v>
      </c>
      <c r="I94" s="9" t="n">
        <v>15.979</v>
      </c>
      <c r="J94" s="9" t="n">
        <v>41.232</v>
      </c>
      <c r="K94" s="8" t="n">
        <v>71</v>
      </c>
      <c r="L94" s="8" t="n">
        <v>0</v>
      </c>
      <c r="M94" s="8" t="n">
        <v>0</v>
      </c>
      <c r="N94" s="9" t="n">
        <v>40292.43</v>
      </c>
      <c r="O94" s="9" t="n">
        <v>359707.57</v>
      </c>
      <c r="P94" s="9" t="n">
        <v>-38022.571</v>
      </c>
    </row>
    <row r="95" ht="18" customHeight="1">
      <c r="A95" s="10" t="inlineStr"/>
      <c r="B95" s="10" t="inlineStr"/>
      <c r="C95" s="11" t="inlineStr"/>
      <c r="D95" s="12" t="inlineStr">
        <is>
          <t>TK49</t>
        </is>
      </c>
      <c r="E95" s="13" t="n">
        <v>89499.117</v>
      </c>
      <c r="F95" s="13" t="n">
        <v>41.066</v>
      </c>
      <c r="G95" s="13" t="n">
        <v>71044.948</v>
      </c>
      <c r="H95" s="13" t="n">
        <v>71803.19</v>
      </c>
      <c r="I95" s="13" t="n">
        <v>28.594</v>
      </c>
      <c r="J95" s="13" t="n">
        <v>41.017</v>
      </c>
      <c r="K95" s="13" t="n">
        <v>81.40000000000001</v>
      </c>
      <c r="L95" s="20" t="n">
        <v>0</v>
      </c>
      <c r="M95" s="20" t="n">
        <v>0</v>
      </c>
      <c r="N95" s="13" t="n">
        <v>71044.948</v>
      </c>
      <c r="O95" s="13" t="n">
        <v>328955.052</v>
      </c>
      <c r="P95" s="13" t="n">
        <v>-18454.169</v>
      </c>
    </row>
    <row r="96" ht="20" customHeight="1">
      <c r="A96" s="14" t="inlineStr"/>
      <c r="B96" s="15" t="inlineStr">
        <is>
          <t>Acc_JetFuel</t>
        </is>
      </c>
      <c r="C96" s="16" t="inlineStr">
        <is>
          <t>Jet Fuel</t>
        </is>
      </c>
      <c r="D96" s="17" t="inlineStr">
        <is>
          <t>Total</t>
        </is>
      </c>
      <c r="E96" s="18">
        <f>E90+E91+E92+E93+E94+E95</f>
        <v/>
      </c>
      <c r="F96" s="18">
        <f>AVERAGE(F90,F91,F92,F93,F94,F95)</f>
        <v/>
      </c>
      <c r="G96" s="18">
        <f>G90+G91+G92+G93+G94+G95</f>
        <v/>
      </c>
      <c r="H96" s="18">
        <f>H90+H91+H92+H93+H94+H95</f>
        <v/>
      </c>
      <c r="I96" s="19" t="inlineStr"/>
      <c r="J96" s="18">
        <f>AVERAGE(J90,J91,J92,J93,J94,J95)</f>
        <v/>
      </c>
      <c r="K96" s="19" t="inlineStr"/>
      <c r="L96" s="18">
        <f>L90+L91+L92+L93+L94+L95</f>
        <v/>
      </c>
      <c r="M96" s="19" t="inlineStr"/>
      <c r="N96" s="18">
        <f>N90+N91+N92+N93+N94+N95</f>
        <v/>
      </c>
      <c r="O96" s="18">
        <f>O90+O91+O92+O93+O94+O95</f>
        <v/>
      </c>
      <c r="P96" s="18">
        <f>P90+P91+P92+P93+P94+P95</f>
        <v/>
      </c>
    </row>
    <row r="97" ht="20" customHeight="1">
      <c r="A97" s="3" t="inlineStr">
        <is>
          <t>20.  Acc_KeroBlndStck  —  Unfinished Kerosene Blendstock</t>
        </is>
      </c>
    </row>
    <row r="98" ht="18" customHeight="1">
      <c r="A98" s="4" t="inlineStr"/>
      <c r="B98" s="5" t="inlineStr">
        <is>
          <t>Acc_KeroBlndStck</t>
        </is>
      </c>
      <c r="C98" s="6" t="inlineStr">
        <is>
          <t>Unfinished Kerosene Blendstock</t>
        </is>
      </c>
      <c r="D98" s="7" t="inlineStr">
        <is>
          <t>TK35</t>
        </is>
      </c>
      <c r="E98" s="9" t="n">
        <v>59903.914</v>
      </c>
      <c r="F98" s="9" t="n">
        <v>40.11</v>
      </c>
      <c r="G98" s="9" t="n">
        <v>58832.559</v>
      </c>
      <c r="H98" s="9" t="n">
        <v>58918.58</v>
      </c>
      <c r="I98" s="9" t="n">
        <v>23.448</v>
      </c>
      <c r="J98" s="9" t="n">
        <v>40.11</v>
      </c>
      <c r="K98" s="9" t="n">
        <v>63</v>
      </c>
      <c r="L98" s="8" t="n">
        <v>0</v>
      </c>
      <c r="M98" s="8" t="n">
        <v>0</v>
      </c>
      <c r="N98" s="9" t="n">
        <v>58832.559</v>
      </c>
      <c r="O98" s="9" t="n">
        <v>341167.441</v>
      </c>
      <c r="P98" s="9" t="n">
        <v>-1071.355</v>
      </c>
    </row>
    <row r="99" ht="18" customHeight="1">
      <c r="A99" s="10" t="inlineStr"/>
      <c r="B99" s="10" t="inlineStr"/>
      <c r="C99" s="11" t="inlineStr"/>
      <c r="D99" s="12" t="inlineStr">
        <is>
          <t>TK773</t>
        </is>
      </c>
      <c r="E99" s="20" t="n">
        <v>0</v>
      </c>
      <c r="F99" s="13" t="n">
        <v>42.44</v>
      </c>
      <c r="G99" s="13" t="n">
        <v>41912.12</v>
      </c>
      <c r="H99" s="20" t="n">
        <v>42102</v>
      </c>
      <c r="I99" s="20" t="n">
        <v>17</v>
      </c>
      <c r="J99" s="13" t="n">
        <v>42.44</v>
      </c>
      <c r="K99" s="20" t="n">
        <v>69</v>
      </c>
      <c r="L99" s="20" t="n">
        <v>0</v>
      </c>
      <c r="M99" s="20" t="n">
        <v>0</v>
      </c>
      <c r="N99" s="13" t="n">
        <v>41912.12</v>
      </c>
      <c r="O99" s="13" t="n">
        <v>358087.88</v>
      </c>
      <c r="P99" s="13" t="n">
        <v>41912.12</v>
      </c>
    </row>
    <row r="100" ht="18" customHeight="1">
      <c r="A100" s="4" t="inlineStr"/>
      <c r="B100" s="4" t="inlineStr"/>
      <c r="C100" s="6" t="inlineStr"/>
      <c r="D100" s="7" t="inlineStr">
        <is>
          <t>TK96</t>
        </is>
      </c>
      <c r="E100" s="9" t="n">
        <v>13982.54</v>
      </c>
      <c r="F100" s="8" t="n">
        <v>45</v>
      </c>
      <c r="G100" s="9" t="n">
        <v>14421.231</v>
      </c>
      <c r="H100" s="8" t="n">
        <v>14451</v>
      </c>
      <c r="I100" s="9" t="n">
        <v>29.5</v>
      </c>
      <c r="J100" s="8" t="n">
        <v>45</v>
      </c>
      <c r="K100" s="8" t="n">
        <v>64</v>
      </c>
      <c r="L100" s="8" t="n">
        <v>333</v>
      </c>
      <c r="M100" s="9" t="n">
        <v>0.5</v>
      </c>
      <c r="N100" s="9" t="n">
        <v>14421.231</v>
      </c>
      <c r="O100" s="9" t="n">
        <v>385578.769</v>
      </c>
      <c r="P100" s="9" t="n">
        <v>438.691</v>
      </c>
    </row>
    <row r="101" ht="18" customHeight="1">
      <c r="A101" s="10" t="inlineStr"/>
      <c r="B101" s="10" t="inlineStr"/>
      <c r="C101" s="11" t="inlineStr"/>
      <c r="D101" s="12" t="inlineStr">
        <is>
          <t>TK97</t>
        </is>
      </c>
      <c r="E101" s="13" t="n">
        <v>13852.108</v>
      </c>
      <c r="F101" s="13" t="n">
        <v>44.7</v>
      </c>
      <c r="G101" s="13" t="n">
        <v>14408.49</v>
      </c>
      <c r="H101" s="13" t="n">
        <v>14424.79</v>
      </c>
      <c r="I101" s="13" t="n">
        <v>29.156</v>
      </c>
      <c r="J101" s="13" t="n">
        <v>44.7</v>
      </c>
      <c r="K101" s="13" t="n">
        <v>62.2</v>
      </c>
      <c r="L101" s="13" t="n">
        <v>230.832</v>
      </c>
      <c r="M101" s="13" t="n">
        <v>0.208</v>
      </c>
      <c r="N101" s="13" t="n">
        <v>14408.49</v>
      </c>
      <c r="O101" s="13" t="n">
        <v>385591.51</v>
      </c>
      <c r="P101" s="13" t="n">
        <v>556.3819999999999</v>
      </c>
    </row>
    <row r="102" ht="20" customHeight="1">
      <c r="A102" s="14" t="inlineStr"/>
      <c r="B102" s="15" t="inlineStr">
        <is>
          <t>Acc_KeroBlndStck</t>
        </is>
      </c>
      <c r="C102" s="16" t="inlineStr">
        <is>
          <t>Unfinished Kerosene Blendstock</t>
        </is>
      </c>
      <c r="D102" s="17" t="inlineStr">
        <is>
          <t>Total</t>
        </is>
      </c>
      <c r="E102" s="18">
        <f>E98+E99+E100+E101</f>
        <v/>
      </c>
      <c r="F102" s="18">
        <f>AVERAGE(F98,F99,F100,F101)</f>
        <v/>
      </c>
      <c r="G102" s="18">
        <f>G98+G99+G100+G101</f>
        <v/>
      </c>
      <c r="H102" s="18">
        <f>H98+H99+H100+H101</f>
        <v/>
      </c>
      <c r="I102" s="19" t="inlineStr"/>
      <c r="J102" s="18">
        <f>AVERAGE(J98,J99,J100,J101)</f>
        <v/>
      </c>
      <c r="K102" s="19" t="inlineStr"/>
      <c r="L102" s="18">
        <f>L98+L99+L100+L101</f>
        <v/>
      </c>
      <c r="M102" s="19" t="inlineStr"/>
      <c r="N102" s="18">
        <f>N98+N99+N100+N101</f>
        <v/>
      </c>
      <c r="O102" s="18">
        <f>O98+O99+O100+O101</f>
        <v/>
      </c>
      <c r="P102" s="18">
        <f>P98+P99+P100+P101</f>
        <v/>
      </c>
    </row>
    <row r="103" ht="20" customHeight="1">
      <c r="A103" s="3" t="inlineStr">
        <is>
          <t>21.  Acc_LCO  —  Light Cycle Oil</t>
        </is>
      </c>
    </row>
    <row r="104" ht="18" customHeight="1">
      <c r="A104" s="4" t="inlineStr"/>
      <c r="B104" s="5" t="inlineStr">
        <is>
          <t>Acc_LCO</t>
        </is>
      </c>
      <c r="C104" s="6" t="inlineStr">
        <is>
          <t>Light Cycle Oil</t>
        </is>
      </c>
      <c r="D104" s="7" t="inlineStr">
        <is>
          <t>TK968</t>
        </is>
      </c>
      <c r="E104" s="9" t="n">
        <v>121013.976</v>
      </c>
      <c r="F104" s="9" t="n">
        <v>16.3</v>
      </c>
      <c r="G104" s="9" t="n">
        <v>118321.763</v>
      </c>
      <c r="H104" s="9" t="n">
        <v>119817.08</v>
      </c>
      <c r="I104" s="9" t="n">
        <v>33.229</v>
      </c>
      <c r="J104" s="9" t="n">
        <v>16.3</v>
      </c>
      <c r="K104" s="9" t="n">
        <v>91.40000000000001</v>
      </c>
      <c r="L104" s="8" t="n">
        <v>0</v>
      </c>
      <c r="M104" s="8" t="n">
        <v>0</v>
      </c>
      <c r="N104" s="9" t="n">
        <v>118321.763</v>
      </c>
      <c r="O104" s="9" t="n">
        <v>281678.237</v>
      </c>
      <c r="P104" s="9" t="n">
        <v>-2692.213</v>
      </c>
    </row>
    <row r="105" ht="20" customHeight="1">
      <c r="A105" s="14" t="inlineStr"/>
      <c r="B105" s="15" t="inlineStr">
        <is>
          <t>Acc_LCO</t>
        </is>
      </c>
      <c r="C105" s="16" t="inlineStr">
        <is>
          <t>Light Cycle Oil</t>
        </is>
      </c>
      <c r="D105" s="17" t="inlineStr">
        <is>
          <t>Total</t>
        </is>
      </c>
      <c r="E105" s="18">
        <f>E104</f>
        <v/>
      </c>
      <c r="F105" s="18">
        <f>AVERAGE(F104)</f>
        <v/>
      </c>
      <c r="G105" s="18">
        <f>G104</f>
        <v/>
      </c>
      <c r="H105" s="18">
        <f>H104</f>
        <v/>
      </c>
      <c r="I105" s="19" t="inlineStr"/>
      <c r="J105" s="18">
        <f>AVERAGE(J104)</f>
        <v/>
      </c>
      <c r="K105" s="19" t="inlineStr"/>
      <c r="L105" s="18">
        <f>L104</f>
        <v/>
      </c>
      <c r="M105" s="19" t="inlineStr"/>
      <c r="N105" s="18">
        <f>N104</f>
        <v/>
      </c>
      <c r="O105" s="18">
        <f>O104</f>
        <v/>
      </c>
      <c r="P105" s="18">
        <f>P104</f>
        <v/>
      </c>
    </row>
    <row r="106" ht="20" customHeight="1">
      <c r="A106" s="3" t="inlineStr">
        <is>
          <t>22.  Acc_LNaphtha  —  Light Naphtha</t>
        </is>
      </c>
    </row>
    <row r="107" ht="18" customHeight="1">
      <c r="A107" s="4" t="inlineStr"/>
      <c r="B107" s="5" t="inlineStr">
        <is>
          <t>Acc_LNaphtha</t>
        </is>
      </c>
      <c r="C107" s="6" t="inlineStr">
        <is>
          <t>Light Naphtha</t>
        </is>
      </c>
      <c r="D107" s="7" t="inlineStr">
        <is>
          <t>TK93</t>
        </is>
      </c>
      <c r="E107" s="9" t="n">
        <v>16765.901</v>
      </c>
      <c r="F107" s="9" t="n">
        <v>79.38</v>
      </c>
      <c r="G107" s="9" t="n">
        <v>17694.615</v>
      </c>
      <c r="H107" s="9" t="n">
        <v>18007.22</v>
      </c>
      <c r="I107" s="9" t="n">
        <v>9.718999999999999</v>
      </c>
      <c r="J107" s="9" t="n">
        <v>79.38</v>
      </c>
      <c r="K107" s="9" t="n">
        <v>81.8</v>
      </c>
      <c r="L107" s="9" t="n">
        <v>61.26</v>
      </c>
      <c r="M107" s="9" t="n">
        <v>0.167</v>
      </c>
      <c r="N107" s="9" t="n">
        <v>17694.615</v>
      </c>
      <c r="O107" s="9" t="n">
        <v>382305.385</v>
      </c>
      <c r="P107" s="9" t="n">
        <v>928.713</v>
      </c>
    </row>
    <row r="108" ht="20" customHeight="1">
      <c r="A108" s="14" t="inlineStr"/>
      <c r="B108" s="15" t="inlineStr">
        <is>
          <t>Acc_LNaphtha</t>
        </is>
      </c>
      <c r="C108" s="16" t="inlineStr">
        <is>
          <t>Light Naphtha</t>
        </is>
      </c>
      <c r="D108" s="17" t="inlineStr">
        <is>
          <t>Total</t>
        </is>
      </c>
      <c r="E108" s="18">
        <f>E107</f>
        <v/>
      </c>
      <c r="F108" s="18">
        <f>AVERAGE(F107)</f>
        <v/>
      </c>
      <c r="G108" s="18">
        <f>G107</f>
        <v/>
      </c>
      <c r="H108" s="18">
        <f>H107</f>
        <v/>
      </c>
      <c r="I108" s="19" t="inlineStr"/>
      <c r="J108" s="18">
        <f>AVERAGE(J107)</f>
        <v/>
      </c>
      <c r="K108" s="19" t="inlineStr"/>
      <c r="L108" s="18">
        <f>L107</f>
        <v/>
      </c>
      <c r="M108" s="19" t="inlineStr"/>
      <c r="N108" s="18">
        <f>N107</f>
        <v/>
      </c>
      <c r="O108" s="18">
        <f>O107</f>
        <v/>
      </c>
      <c r="P108" s="18">
        <f>P107</f>
        <v/>
      </c>
    </row>
    <row r="109" ht="20" customHeight="1">
      <c r="A109" s="3" t="inlineStr">
        <is>
          <t>23.  Acc_LowSulSlurry  —  Low Sulfur Slurry</t>
        </is>
      </c>
    </row>
    <row r="110" ht="18" customHeight="1">
      <c r="A110" s="4" t="inlineStr"/>
      <c r="B110" s="5" t="inlineStr">
        <is>
          <t>Acc_LowSulSlurry</t>
        </is>
      </c>
      <c r="C110" s="6" t="inlineStr">
        <is>
          <t>Low Sulfur Slurry</t>
        </is>
      </c>
      <c r="D110" s="7" t="inlineStr">
        <is>
          <t>TK11</t>
        </is>
      </c>
      <c r="E110" s="9" t="n">
        <v>55790.433</v>
      </c>
      <c r="F110" s="9" t="n">
        <v>-1.5</v>
      </c>
      <c r="G110" s="9" t="n">
        <v>61197.122</v>
      </c>
      <c r="H110" s="9" t="n">
        <v>61688.16</v>
      </c>
      <c r="I110" s="9" t="n">
        <v>32.333</v>
      </c>
      <c r="J110" s="9" t="n">
        <v>-1.5</v>
      </c>
      <c r="K110" s="9" t="n">
        <v>83.59999999999999</v>
      </c>
      <c r="L110" s="8" t="n">
        <v>0</v>
      </c>
      <c r="M110" s="8" t="n">
        <v>0</v>
      </c>
      <c r="N110" s="9" t="n">
        <v>61197.122</v>
      </c>
      <c r="O110" s="9" t="n">
        <v>338802.878</v>
      </c>
      <c r="P110" s="9" t="n">
        <v>5406.689</v>
      </c>
    </row>
    <row r="111" ht="20" customHeight="1">
      <c r="A111" s="14" t="inlineStr"/>
      <c r="B111" s="15" t="inlineStr">
        <is>
          <t>Acc_LowSulSlurry</t>
        </is>
      </c>
      <c r="C111" s="16" t="inlineStr">
        <is>
          <t>Low Sulfur Slurry</t>
        </is>
      </c>
      <c r="D111" s="17" t="inlineStr">
        <is>
          <t>Total</t>
        </is>
      </c>
      <c r="E111" s="18">
        <f>E110</f>
        <v/>
      </c>
      <c r="F111" s="18">
        <f>AVERAGE(F110)</f>
        <v/>
      </c>
      <c r="G111" s="18">
        <f>G110</f>
        <v/>
      </c>
      <c r="H111" s="18">
        <f>H110</f>
        <v/>
      </c>
      <c r="I111" s="19" t="inlineStr"/>
      <c r="J111" s="18">
        <f>AVERAGE(J110)</f>
        <v/>
      </c>
      <c r="K111" s="19" t="inlineStr"/>
      <c r="L111" s="18">
        <f>L110</f>
        <v/>
      </c>
      <c r="M111" s="19" t="inlineStr"/>
      <c r="N111" s="18">
        <f>N110</f>
        <v/>
      </c>
      <c r="O111" s="18">
        <f>O110</f>
        <v/>
      </c>
      <c r="P111" s="18">
        <f>P110</f>
        <v/>
      </c>
    </row>
    <row r="112" ht="20" customHeight="1">
      <c r="A112" s="3" t="inlineStr">
        <is>
          <t>24.  Acc_LSVGO  —  Low Sulfur Vacuum Gas Oil</t>
        </is>
      </c>
    </row>
    <row r="113" ht="18" customHeight="1">
      <c r="A113" s="4" t="inlineStr"/>
      <c r="B113" s="5" t="inlineStr">
        <is>
          <t>Acc_LSVGO</t>
        </is>
      </c>
      <c r="C113" s="6" t="inlineStr">
        <is>
          <t>Low Sulfur Vacuum Gas Oil</t>
        </is>
      </c>
      <c r="D113" s="7" t="inlineStr">
        <is>
          <t>TK14</t>
        </is>
      </c>
      <c r="E113" s="9" t="n">
        <v>127729.425</v>
      </c>
      <c r="F113" s="9" t="n">
        <v>25.939</v>
      </c>
      <c r="G113" s="9" t="n">
        <v>122873.364</v>
      </c>
      <c r="H113" s="9" t="n">
        <v>124571.27</v>
      </c>
      <c r="I113" s="9" t="n">
        <v>22.833</v>
      </c>
      <c r="J113" s="9" t="n">
        <v>25.939</v>
      </c>
      <c r="K113" s="9" t="n">
        <v>91.59999999999999</v>
      </c>
      <c r="L113" s="9" t="n">
        <v>2375.868</v>
      </c>
      <c r="M113" s="9" t="n">
        <v>0.167</v>
      </c>
      <c r="N113" s="9" t="n">
        <v>122873.364</v>
      </c>
      <c r="O113" s="9" t="n">
        <v>277126.636</v>
      </c>
      <c r="P113" s="9" t="n">
        <v>-4856.062</v>
      </c>
    </row>
    <row r="114" ht="18" customHeight="1">
      <c r="A114" s="10" t="inlineStr"/>
      <c r="B114" s="10" t="inlineStr"/>
      <c r="C114" s="11" t="inlineStr"/>
      <c r="D114" s="12" t="inlineStr">
        <is>
          <t>TK502</t>
        </is>
      </c>
      <c r="E114" s="13" t="n">
        <v>121927.456</v>
      </c>
      <c r="F114" s="13" t="n">
        <v>22.91</v>
      </c>
      <c r="G114" s="13" t="n">
        <v>113440.007</v>
      </c>
      <c r="H114" s="13" t="n">
        <v>111676.633</v>
      </c>
      <c r="I114" s="20" t="n">
        <v>0</v>
      </c>
      <c r="J114" s="13" t="n">
        <v>22.91</v>
      </c>
      <c r="K114" s="13" t="n">
        <v>22.123</v>
      </c>
      <c r="L114" s="20" t="n">
        <v>0</v>
      </c>
      <c r="M114" s="20" t="n">
        <v>0</v>
      </c>
      <c r="N114" s="13" t="n">
        <v>113440.007</v>
      </c>
      <c r="O114" s="13" t="n">
        <v>286559.993</v>
      </c>
      <c r="P114" s="13" t="n">
        <v>-8487.449000000001</v>
      </c>
    </row>
    <row r="115" ht="18" customHeight="1">
      <c r="A115" s="4" t="inlineStr"/>
      <c r="B115" s="4" t="inlineStr"/>
      <c r="C115" s="6" t="inlineStr"/>
      <c r="D115" s="7" t="inlineStr">
        <is>
          <t>TK956</t>
        </is>
      </c>
      <c r="E115" s="9" t="n">
        <v>76799.34299999999</v>
      </c>
      <c r="F115" s="9" t="n">
        <v>25.41</v>
      </c>
      <c r="G115" s="9" t="n">
        <v>76819.522</v>
      </c>
      <c r="H115" s="9" t="n">
        <v>77611.94</v>
      </c>
      <c r="I115" s="9" t="n">
        <v>25.292</v>
      </c>
      <c r="J115" s="9" t="n">
        <v>25.41</v>
      </c>
      <c r="K115" s="9" t="n">
        <v>83.8</v>
      </c>
      <c r="L115" s="9" t="n">
        <v>915.1</v>
      </c>
      <c r="M115" s="9" t="n">
        <v>0.583</v>
      </c>
      <c r="N115" s="9" t="n">
        <v>76819.522</v>
      </c>
      <c r="O115" s="9" t="n">
        <v>323180.478</v>
      </c>
      <c r="P115" s="9" t="n">
        <v>20.179</v>
      </c>
    </row>
    <row r="116" ht="18" customHeight="1">
      <c r="A116" s="10" t="inlineStr"/>
      <c r="B116" s="10" t="inlineStr"/>
      <c r="C116" s="11" t="inlineStr"/>
      <c r="D116" s="12" t="inlineStr">
        <is>
          <t>TK959</t>
        </is>
      </c>
      <c r="E116" s="13" t="n">
        <v>108210.828</v>
      </c>
      <c r="F116" s="13" t="n">
        <v>18.8</v>
      </c>
      <c r="G116" s="13" t="n">
        <v>113489.577</v>
      </c>
      <c r="H116" s="13" t="n">
        <v>116599.28</v>
      </c>
      <c r="I116" s="13" t="n">
        <v>37.688</v>
      </c>
      <c r="J116" s="13" t="n">
        <v>18.8</v>
      </c>
      <c r="K116" s="13" t="n">
        <v>125.4</v>
      </c>
      <c r="L116" s="13" t="n">
        <v>2591.048</v>
      </c>
      <c r="M116" s="13" t="n">
        <v>0.667</v>
      </c>
      <c r="N116" s="13" t="n">
        <v>113489.577</v>
      </c>
      <c r="O116" s="13" t="n">
        <v>286510.423</v>
      </c>
      <c r="P116" s="13" t="n">
        <v>5278.749</v>
      </c>
    </row>
    <row r="117" ht="20" customHeight="1">
      <c r="A117" s="14" t="inlineStr"/>
      <c r="B117" s="15" t="inlineStr">
        <is>
          <t>Acc_LSVGO</t>
        </is>
      </c>
      <c r="C117" s="16" t="inlineStr">
        <is>
          <t>Low Sulfur Vacuum Gas Oil</t>
        </is>
      </c>
      <c r="D117" s="17" t="inlineStr">
        <is>
          <t>Total</t>
        </is>
      </c>
      <c r="E117" s="18">
        <f>E113+E114+E115+E116</f>
        <v/>
      </c>
      <c r="F117" s="18">
        <f>AVERAGE(F113,F114,F115,F116)</f>
        <v/>
      </c>
      <c r="G117" s="18">
        <f>G113+G114+G115+G116</f>
        <v/>
      </c>
      <c r="H117" s="18">
        <f>H113+H114+H115+H116</f>
        <v/>
      </c>
      <c r="I117" s="19" t="inlineStr"/>
      <c r="J117" s="18">
        <f>AVERAGE(J113,J114,J115,J116)</f>
        <v/>
      </c>
      <c r="K117" s="19" t="inlineStr"/>
      <c r="L117" s="18">
        <f>L113+L114+L115+L116</f>
        <v/>
      </c>
      <c r="M117" s="19" t="inlineStr"/>
      <c r="N117" s="18">
        <f>N113+N114+N115+N116</f>
        <v/>
      </c>
      <c r="O117" s="18">
        <f>O113+O114+O115+O116</f>
        <v/>
      </c>
      <c r="P117" s="18">
        <f>P113+P114+P115+P116</f>
        <v/>
      </c>
    </row>
    <row r="118" ht="20" customHeight="1">
      <c r="A118" s="3" t="inlineStr">
        <is>
          <t>25.  Acc_LtCatGasoline  —  Light Cat Gasoline</t>
        </is>
      </c>
    </row>
    <row r="119" ht="18" customHeight="1">
      <c r="A119" s="4" t="inlineStr"/>
      <c r="B119" s="5" t="inlineStr">
        <is>
          <t>Acc_LtCatGasoline</t>
        </is>
      </c>
      <c r="C119" s="6" t="inlineStr">
        <is>
          <t>Light Cat Gasoline</t>
        </is>
      </c>
      <c r="D119" s="7" t="inlineStr">
        <is>
          <t>TK68</t>
        </is>
      </c>
      <c r="E119" s="9" t="n">
        <v>66296.626</v>
      </c>
      <c r="F119" s="8" t="n">
        <v>74</v>
      </c>
      <c r="G119" s="9" t="n">
        <v>78702.837</v>
      </c>
      <c r="H119" s="9" t="n">
        <v>79566.13</v>
      </c>
      <c r="I119" s="9" t="n">
        <v>31.844</v>
      </c>
      <c r="J119" s="8" t="n">
        <v>74</v>
      </c>
      <c r="K119" s="9" t="n">
        <v>74.2</v>
      </c>
      <c r="L119" s="8" t="n">
        <v>0</v>
      </c>
      <c r="M119" s="8" t="n">
        <v>0</v>
      </c>
      <c r="N119" s="9" t="n">
        <v>78702.837</v>
      </c>
      <c r="O119" s="9" t="n">
        <v>321297.163</v>
      </c>
      <c r="P119" s="9" t="n">
        <v>12406.212</v>
      </c>
    </row>
    <row r="120" ht="20" customHeight="1">
      <c r="A120" s="14" t="inlineStr"/>
      <c r="B120" s="15" t="inlineStr">
        <is>
          <t>Acc_LtCatGasoline</t>
        </is>
      </c>
      <c r="C120" s="16" t="inlineStr">
        <is>
          <t>Light Cat Gasoline</t>
        </is>
      </c>
      <c r="D120" s="17" t="inlineStr">
        <is>
          <t>Total</t>
        </is>
      </c>
      <c r="E120" s="18">
        <f>E119</f>
        <v/>
      </c>
      <c r="F120" s="18">
        <f>AVERAGE(F119)</f>
        <v/>
      </c>
      <c r="G120" s="18">
        <f>G119</f>
        <v/>
      </c>
      <c r="H120" s="18">
        <f>H119</f>
        <v/>
      </c>
      <c r="I120" s="19" t="inlineStr"/>
      <c r="J120" s="18">
        <f>AVERAGE(J119)</f>
        <v/>
      </c>
      <c r="K120" s="19" t="inlineStr"/>
      <c r="L120" s="18">
        <f>L119</f>
        <v/>
      </c>
      <c r="M120" s="19" t="inlineStr"/>
      <c r="N120" s="18">
        <f>N119</f>
        <v/>
      </c>
      <c r="O120" s="18">
        <f>O119</f>
        <v/>
      </c>
      <c r="P120" s="18">
        <f>P119</f>
        <v/>
      </c>
    </row>
    <row r="121" ht="20" customHeight="1">
      <c r="A121" s="3" t="inlineStr">
        <is>
          <t>26.  Acc_MedCatGasoline  —  Medium Cat Gasoline</t>
        </is>
      </c>
    </row>
    <row r="122" ht="18" customHeight="1">
      <c r="A122" s="4" t="inlineStr"/>
      <c r="B122" s="5" t="inlineStr">
        <is>
          <t>Acc_MedCatGasoline</t>
        </is>
      </c>
      <c r="C122" s="6" t="inlineStr">
        <is>
          <t>Medium Cat Gasoline</t>
        </is>
      </c>
      <c r="D122" s="7" t="inlineStr">
        <is>
          <t>TK66</t>
        </is>
      </c>
      <c r="E122" s="9" t="n">
        <v>79306.651</v>
      </c>
      <c r="F122" s="9" t="n">
        <v>58.9</v>
      </c>
      <c r="G122" s="9" t="n">
        <v>82280.882</v>
      </c>
      <c r="H122" s="9" t="n">
        <v>82459.82000000001</v>
      </c>
      <c r="I122" s="9" t="n">
        <v>33.104</v>
      </c>
      <c r="J122" s="9" t="n">
        <v>58.9</v>
      </c>
      <c r="K122" s="9" t="n">
        <v>63.2</v>
      </c>
      <c r="L122" s="9" t="n">
        <v>1554.849</v>
      </c>
      <c r="M122" s="9" t="n">
        <v>0.417</v>
      </c>
      <c r="N122" s="9" t="n">
        <v>82280.882</v>
      </c>
      <c r="O122" s="9" t="n">
        <v>317719.118</v>
      </c>
      <c r="P122" s="9" t="n">
        <v>2974.232</v>
      </c>
    </row>
    <row r="123" ht="20" customHeight="1">
      <c r="A123" s="14" t="inlineStr"/>
      <c r="B123" s="15" t="inlineStr">
        <is>
          <t>Acc_MedCatGasoline</t>
        </is>
      </c>
      <c r="C123" s="16" t="inlineStr">
        <is>
          <t>Medium Cat Gasoline</t>
        </is>
      </c>
      <c r="D123" s="17" t="inlineStr">
        <is>
          <t>Total</t>
        </is>
      </c>
      <c r="E123" s="18">
        <f>E122</f>
        <v/>
      </c>
      <c r="F123" s="18">
        <f>AVERAGE(F122)</f>
        <v/>
      </c>
      <c r="G123" s="18">
        <f>G122</f>
        <v/>
      </c>
      <c r="H123" s="18">
        <f>H122</f>
        <v/>
      </c>
      <c r="I123" s="19" t="inlineStr"/>
      <c r="J123" s="18">
        <f>AVERAGE(J122)</f>
        <v/>
      </c>
      <c r="K123" s="19" t="inlineStr"/>
      <c r="L123" s="18">
        <f>L122</f>
        <v/>
      </c>
      <c r="M123" s="19" t="inlineStr"/>
      <c r="N123" s="18">
        <f>N122</f>
        <v/>
      </c>
      <c r="O123" s="18">
        <f>O122</f>
        <v/>
      </c>
      <c r="P123" s="18">
        <f>P122</f>
        <v/>
      </c>
    </row>
    <row r="124" ht="20" customHeight="1">
      <c r="A124" s="3" t="inlineStr">
        <is>
          <t>27.  Acc_MixedButane  —  Mixed Butane</t>
        </is>
      </c>
    </row>
    <row r="125" ht="18" customHeight="1">
      <c r="A125" s="4" t="inlineStr"/>
      <c r="B125" s="5" t="inlineStr">
        <is>
          <t>Acc_MixedButane</t>
        </is>
      </c>
      <c r="C125" s="6" t="inlineStr">
        <is>
          <t>Mixed Butane</t>
        </is>
      </c>
      <c r="D125" s="7" t="inlineStr">
        <is>
          <t>TK683</t>
        </is>
      </c>
      <c r="E125" s="9" t="n">
        <v>1233.95</v>
      </c>
      <c r="F125" s="8" t="n">
        <v>113</v>
      </c>
      <c r="G125" s="9" t="n">
        <v>1082.32</v>
      </c>
      <c r="H125" s="9" t="n">
        <v>1082.32</v>
      </c>
      <c r="I125" s="9" t="n">
        <v>7.604</v>
      </c>
      <c r="J125" s="8" t="n">
        <v>113</v>
      </c>
      <c r="K125" s="9" t="n">
        <v>62.8</v>
      </c>
      <c r="L125" s="8" t="n">
        <v>0</v>
      </c>
      <c r="M125" s="8" t="n">
        <v>0</v>
      </c>
      <c r="N125" s="9" t="n">
        <v>1082.32</v>
      </c>
      <c r="O125" s="9" t="n">
        <v>398917.68</v>
      </c>
      <c r="P125" s="9" t="n">
        <v>-151.63</v>
      </c>
    </row>
    <row r="126" ht="18" customHeight="1">
      <c r="A126" s="10" t="inlineStr"/>
      <c r="B126" s="10" t="inlineStr"/>
      <c r="C126" s="11" t="inlineStr"/>
      <c r="D126" s="12" t="inlineStr">
        <is>
          <t>TK73</t>
        </is>
      </c>
      <c r="E126" s="13" t="n">
        <v>18372.883</v>
      </c>
      <c r="F126" s="13" t="n">
        <v>113.44</v>
      </c>
      <c r="G126" s="13" t="n">
        <v>23346.242</v>
      </c>
      <c r="H126" s="13" t="n">
        <v>23346.242</v>
      </c>
      <c r="I126" s="20" t="n">
        <v>0</v>
      </c>
      <c r="J126" s="13" t="n">
        <v>113.44</v>
      </c>
      <c r="K126" s="13" t="n">
        <v>70.52800000000001</v>
      </c>
      <c r="L126" s="20" t="n">
        <v>0</v>
      </c>
      <c r="M126" s="20" t="n">
        <v>0</v>
      </c>
      <c r="N126" s="13" t="n">
        <v>23346.242</v>
      </c>
      <c r="O126" s="13" t="n">
        <v>376653.758</v>
      </c>
      <c r="P126" s="13" t="n">
        <v>4973.359</v>
      </c>
    </row>
    <row r="127" ht="20" customHeight="1">
      <c r="A127" s="14" t="inlineStr"/>
      <c r="B127" s="15" t="inlineStr">
        <is>
          <t>Acc_MixedButane</t>
        </is>
      </c>
      <c r="C127" s="16" t="inlineStr">
        <is>
          <t>Mixed Butane</t>
        </is>
      </c>
      <c r="D127" s="17" t="inlineStr">
        <is>
          <t>Total</t>
        </is>
      </c>
      <c r="E127" s="18">
        <f>E125+E126</f>
        <v/>
      </c>
      <c r="F127" s="18">
        <f>AVERAGE(F125,F126)</f>
        <v/>
      </c>
      <c r="G127" s="18">
        <f>G125+G126</f>
        <v/>
      </c>
      <c r="H127" s="18">
        <f>H125+H126</f>
        <v/>
      </c>
      <c r="I127" s="19" t="inlineStr"/>
      <c r="J127" s="18">
        <f>AVERAGE(J125,J126)</f>
        <v/>
      </c>
      <c r="K127" s="19" t="inlineStr"/>
      <c r="L127" s="18">
        <f>L125+L126</f>
        <v/>
      </c>
      <c r="M127" s="19" t="inlineStr"/>
      <c r="N127" s="18">
        <f>N125+N126</f>
        <v/>
      </c>
      <c r="O127" s="18">
        <f>O125+O126</f>
        <v/>
      </c>
      <c r="P127" s="18">
        <f>P125+P126</f>
        <v/>
      </c>
    </row>
    <row r="128" ht="20" customHeight="1">
      <c r="A128" s="3" t="inlineStr">
        <is>
          <t>28.  Acc_MixedPentane  —  Mixed Pentanes</t>
        </is>
      </c>
    </row>
    <row r="129" ht="18" customHeight="1">
      <c r="A129" s="4" t="inlineStr"/>
      <c r="B129" s="5" t="inlineStr">
        <is>
          <t>Acc_MixedPentane</t>
        </is>
      </c>
      <c r="C129" s="6" t="inlineStr">
        <is>
          <t>Mixed Pentanes</t>
        </is>
      </c>
      <c r="D129" s="7" t="inlineStr">
        <is>
          <t>TK138</t>
        </is>
      </c>
      <c r="E129" s="9" t="n">
        <v>1343.233</v>
      </c>
      <c r="F129" s="8" t="n">
        <v>90</v>
      </c>
      <c r="G129" s="9" t="n">
        <v>1356.866</v>
      </c>
      <c r="H129" s="9" t="n">
        <v>1354.78</v>
      </c>
      <c r="I129" s="8" t="n">
        <v>6</v>
      </c>
      <c r="J129" s="8" t="n">
        <v>90</v>
      </c>
      <c r="K129" s="9" t="n">
        <v>58.2</v>
      </c>
      <c r="L129" s="8" t="n">
        <v>0</v>
      </c>
      <c r="M129" s="8" t="n">
        <v>0</v>
      </c>
      <c r="N129" s="9" t="n">
        <v>1356.866</v>
      </c>
      <c r="O129" s="9" t="n">
        <v>398643.134</v>
      </c>
      <c r="P129" s="9" t="n">
        <v>13.633</v>
      </c>
    </row>
    <row r="130" ht="18" customHeight="1">
      <c r="A130" s="10" t="inlineStr"/>
      <c r="B130" s="10" t="inlineStr"/>
      <c r="C130" s="11" t="inlineStr"/>
      <c r="D130" s="12" t="inlineStr">
        <is>
          <t>TK139</t>
        </is>
      </c>
      <c r="E130" s="13" t="n">
        <v>1368.53</v>
      </c>
      <c r="F130" s="20" t="n">
        <v>90</v>
      </c>
      <c r="G130" s="13" t="n">
        <v>1354.22</v>
      </c>
      <c r="H130" s="13" t="n">
        <v>1353.76</v>
      </c>
      <c r="I130" s="13" t="n">
        <v>6.042</v>
      </c>
      <c r="J130" s="20" t="n">
        <v>90</v>
      </c>
      <c r="K130" s="13" t="n">
        <v>59.6</v>
      </c>
      <c r="L130" s="20" t="n">
        <v>0</v>
      </c>
      <c r="M130" s="20" t="n">
        <v>0</v>
      </c>
      <c r="N130" s="13" t="n">
        <v>1354.22</v>
      </c>
      <c r="O130" s="13" t="n">
        <v>398645.78</v>
      </c>
      <c r="P130" s="13" t="n">
        <v>-14.31</v>
      </c>
    </row>
    <row r="131" ht="18" customHeight="1">
      <c r="A131" s="4" t="inlineStr"/>
      <c r="B131" s="4" t="inlineStr"/>
      <c r="C131" s="6" t="inlineStr"/>
      <c r="D131" s="7" t="inlineStr">
        <is>
          <t>TK684</t>
        </is>
      </c>
      <c r="E131" s="9" t="n">
        <v>1338.316</v>
      </c>
      <c r="F131" s="9" t="n">
        <v>93.28</v>
      </c>
      <c r="G131" s="9" t="n">
        <v>1337.845</v>
      </c>
      <c r="H131" s="9" t="n">
        <v>1346.34</v>
      </c>
      <c r="I131" s="9" t="n">
        <v>8.552</v>
      </c>
      <c r="J131" s="9" t="n">
        <v>93.28</v>
      </c>
      <c r="K131" s="9" t="n">
        <v>67.2</v>
      </c>
      <c r="L131" s="8" t="n">
        <v>0</v>
      </c>
      <c r="M131" s="8" t="n">
        <v>0</v>
      </c>
      <c r="N131" s="9" t="n">
        <v>1337.845</v>
      </c>
      <c r="O131" s="9" t="n">
        <v>398662.155</v>
      </c>
      <c r="P131" s="9" t="n">
        <v>-0.471</v>
      </c>
    </row>
    <row r="132" ht="20" customHeight="1">
      <c r="A132" s="14" t="inlineStr"/>
      <c r="B132" s="15" t="inlineStr">
        <is>
          <t>Acc_MixedPentane</t>
        </is>
      </c>
      <c r="C132" s="16" t="inlineStr">
        <is>
          <t>Mixed Pentanes</t>
        </is>
      </c>
      <c r="D132" s="17" t="inlineStr">
        <is>
          <t>Total</t>
        </is>
      </c>
      <c r="E132" s="18">
        <f>E129+E130+E131</f>
        <v/>
      </c>
      <c r="F132" s="18">
        <f>AVERAGE(F129,F130,F131)</f>
        <v/>
      </c>
      <c r="G132" s="18">
        <f>G129+G130+G131</f>
        <v/>
      </c>
      <c r="H132" s="18">
        <f>H129+H130+H131</f>
        <v/>
      </c>
      <c r="I132" s="19" t="inlineStr"/>
      <c r="J132" s="18">
        <f>AVERAGE(J129,J130,J131)</f>
        <v/>
      </c>
      <c r="K132" s="19" t="inlineStr"/>
      <c r="L132" s="18">
        <f>L129+L130+L131</f>
        <v/>
      </c>
      <c r="M132" s="19" t="inlineStr"/>
      <c r="N132" s="18">
        <f>N129+N130+N131</f>
        <v/>
      </c>
      <c r="O132" s="18">
        <f>O129+O130+O131</f>
        <v/>
      </c>
      <c r="P132" s="18">
        <f>P129+P130+P131</f>
        <v/>
      </c>
    </row>
    <row r="133" ht="20" customHeight="1">
      <c r="A133" s="3" t="inlineStr">
        <is>
          <t>29.  Acc_MoltenSulfur  —  Molten Sulfur</t>
        </is>
      </c>
    </row>
    <row r="134" ht="18" customHeight="1">
      <c r="A134" s="4" t="inlineStr"/>
      <c r="B134" s="5" t="inlineStr">
        <is>
          <t>Acc_MoltenSulfur</t>
        </is>
      </c>
      <c r="C134" s="6" t="inlineStr">
        <is>
          <t>Molten Sulfur</t>
        </is>
      </c>
      <c r="D134" s="7" t="inlineStr">
        <is>
          <t>TK619</t>
        </is>
      </c>
      <c r="E134" s="9" t="n">
        <v>5602.73</v>
      </c>
      <c r="F134" s="9" t="n">
        <v>-52.857</v>
      </c>
      <c r="G134" s="9" t="n">
        <v>5088.51</v>
      </c>
      <c r="H134" s="9" t="n">
        <v>5088.51</v>
      </c>
      <c r="I134" s="9" t="n">
        <v>14.8</v>
      </c>
      <c r="J134" s="9" t="n">
        <v>-52.857</v>
      </c>
      <c r="K134" s="8" t="n">
        <v>285</v>
      </c>
      <c r="L134" s="8" t="n">
        <v>0</v>
      </c>
      <c r="M134" s="8" t="n">
        <v>0</v>
      </c>
      <c r="N134" s="9" t="n">
        <v>5088.51</v>
      </c>
      <c r="O134" s="9" t="n">
        <v>394911.49</v>
      </c>
      <c r="P134" s="9" t="n">
        <v>-514.22</v>
      </c>
    </row>
    <row r="135" ht="20" customHeight="1">
      <c r="A135" s="14" t="inlineStr"/>
      <c r="B135" s="15" t="inlineStr">
        <is>
          <t>Acc_MoltenSulfur</t>
        </is>
      </c>
      <c r="C135" s="16" t="inlineStr">
        <is>
          <t>Molten Sulfur</t>
        </is>
      </c>
      <c r="D135" s="17" t="inlineStr">
        <is>
          <t>Total</t>
        </is>
      </c>
      <c r="E135" s="18">
        <f>E134</f>
        <v/>
      </c>
      <c r="F135" s="18">
        <f>AVERAGE(F134)</f>
        <v/>
      </c>
      <c r="G135" s="18">
        <f>G134</f>
        <v/>
      </c>
      <c r="H135" s="18">
        <f>H134</f>
        <v/>
      </c>
      <c r="I135" s="19" t="inlineStr"/>
      <c r="J135" s="18">
        <f>AVERAGE(J134)</f>
        <v/>
      </c>
      <c r="K135" s="19" t="inlineStr"/>
      <c r="L135" s="18">
        <f>L134</f>
        <v/>
      </c>
      <c r="M135" s="19" t="inlineStr"/>
      <c r="N135" s="18">
        <f>N134</f>
        <v/>
      </c>
      <c r="O135" s="18">
        <f>O134</f>
        <v/>
      </c>
      <c r="P135" s="18">
        <f>P134</f>
        <v/>
      </c>
    </row>
    <row r="136" ht="20" customHeight="1">
      <c r="A136" s="3" t="inlineStr">
        <is>
          <t>30.  Acc_NormalButane  —  Normal Butane</t>
        </is>
      </c>
    </row>
    <row r="137" ht="18" customHeight="1">
      <c r="A137" s="4" t="inlineStr"/>
      <c r="B137" s="5" t="inlineStr">
        <is>
          <t>Acc_NormalButane</t>
        </is>
      </c>
      <c r="C137" s="6" t="inlineStr">
        <is>
          <t>Normal Butane</t>
        </is>
      </c>
      <c r="D137" s="7" t="inlineStr">
        <is>
          <t>LF_002</t>
        </is>
      </c>
      <c r="E137" s="8" t="n">
        <v>153000</v>
      </c>
      <c r="F137" s="9" t="n">
        <v>110.8</v>
      </c>
      <c r="G137" s="8" t="n">
        <v>153000</v>
      </c>
      <c r="H137" s="8" t="n">
        <v>153000</v>
      </c>
      <c r="I137" s="8" t="n">
        <v>0</v>
      </c>
      <c r="J137" s="9" t="n">
        <v>110.8</v>
      </c>
      <c r="K137" s="8" t="n">
        <v>60</v>
      </c>
      <c r="L137" s="8" t="n">
        <v>0</v>
      </c>
      <c r="M137" s="8" t="n">
        <v>0</v>
      </c>
      <c r="N137" s="8" t="n">
        <v>153000</v>
      </c>
      <c r="O137" s="8" t="n">
        <v>247000</v>
      </c>
      <c r="P137" s="8" t="n">
        <v>0</v>
      </c>
    </row>
    <row r="138" ht="18" customHeight="1">
      <c r="A138" s="10" t="inlineStr"/>
      <c r="B138" s="10" t="inlineStr"/>
      <c r="C138" s="11" t="inlineStr"/>
      <c r="D138" s="12" t="inlineStr">
        <is>
          <t>TK79</t>
        </is>
      </c>
      <c r="E138" s="13" t="n">
        <v>4138.703</v>
      </c>
      <c r="F138" s="13" t="n">
        <v>111.54</v>
      </c>
      <c r="G138" s="13" t="n">
        <v>4123.964</v>
      </c>
      <c r="H138" s="13" t="n">
        <v>4123.964</v>
      </c>
      <c r="I138" s="20" t="n">
        <v>0</v>
      </c>
      <c r="J138" s="13" t="n">
        <v>111.54</v>
      </c>
      <c r="K138" s="20" t="n">
        <v>60</v>
      </c>
      <c r="L138" s="20" t="n">
        <v>0</v>
      </c>
      <c r="M138" s="20" t="n">
        <v>0</v>
      </c>
      <c r="N138" s="13" t="n">
        <v>4123.964</v>
      </c>
      <c r="O138" s="13" t="n">
        <v>395876.036</v>
      </c>
      <c r="P138" s="13" t="n">
        <v>-14.739</v>
      </c>
    </row>
    <row r="139" ht="18" customHeight="1">
      <c r="A139" s="4" t="inlineStr"/>
      <c r="B139" s="4" t="inlineStr"/>
      <c r="C139" s="6" t="inlineStr"/>
      <c r="D139" s="7" t="inlineStr">
        <is>
          <t>TK86</t>
        </is>
      </c>
      <c r="E139" s="9" t="n">
        <v>12425.58</v>
      </c>
      <c r="F139" s="9" t="n">
        <v>110.79</v>
      </c>
      <c r="G139" s="9" t="n">
        <v>11396.534</v>
      </c>
      <c r="H139" s="9" t="n">
        <v>11396.534</v>
      </c>
      <c r="I139" s="8" t="n">
        <v>0</v>
      </c>
      <c r="J139" s="9" t="n">
        <v>110.79</v>
      </c>
      <c r="K139" s="9" t="n">
        <v>70.84999999999999</v>
      </c>
      <c r="L139" s="8" t="n">
        <v>0</v>
      </c>
      <c r="M139" s="8" t="n">
        <v>0</v>
      </c>
      <c r="N139" s="9" t="n">
        <v>11396.534</v>
      </c>
      <c r="O139" s="9" t="n">
        <v>388603.466</v>
      </c>
      <c r="P139" s="9" t="n">
        <v>-1029.046</v>
      </c>
    </row>
    <row r="140" ht="18" customHeight="1">
      <c r="A140" s="10" t="inlineStr"/>
      <c r="B140" s="10" t="inlineStr"/>
      <c r="C140" s="11" t="inlineStr"/>
      <c r="D140" s="12" t="inlineStr">
        <is>
          <t>TK87</t>
        </is>
      </c>
      <c r="E140" s="13" t="n">
        <v>12500.94</v>
      </c>
      <c r="F140" s="13" t="n">
        <v>110.92</v>
      </c>
      <c r="G140" s="13" t="n">
        <v>11480.22</v>
      </c>
      <c r="H140" s="13" t="n">
        <v>11480.22</v>
      </c>
      <c r="I140" s="13" t="n">
        <v>36.842</v>
      </c>
      <c r="J140" s="13" t="n">
        <v>110.92</v>
      </c>
      <c r="K140" s="13" t="n">
        <v>69.803</v>
      </c>
      <c r="L140" s="20" t="n">
        <v>0</v>
      </c>
      <c r="M140" s="20" t="n">
        <v>0</v>
      </c>
      <c r="N140" s="13" t="n">
        <v>11480.22</v>
      </c>
      <c r="O140" s="13" t="n">
        <v>388519.78</v>
      </c>
      <c r="P140" s="13" t="n">
        <v>-1020.72</v>
      </c>
    </row>
    <row r="141" ht="20" customHeight="1">
      <c r="A141" s="14" t="inlineStr"/>
      <c r="B141" s="15" t="inlineStr">
        <is>
          <t>Acc_NormalButane</t>
        </is>
      </c>
      <c r="C141" s="16" t="inlineStr">
        <is>
          <t>Normal Butane</t>
        </is>
      </c>
      <c r="D141" s="17" t="inlineStr">
        <is>
          <t>Total</t>
        </is>
      </c>
      <c r="E141" s="18">
        <f>E137+E138+E139+E140</f>
        <v/>
      </c>
      <c r="F141" s="18">
        <f>AVERAGE(F137,F138,F139,F140)</f>
        <v/>
      </c>
      <c r="G141" s="18">
        <f>G137+G138+G139+G140</f>
        <v/>
      </c>
      <c r="H141" s="18">
        <f>H137+H138+H139+H140</f>
        <v/>
      </c>
      <c r="I141" s="19" t="inlineStr"/>
      <c r="J141" s="18">
        <f>AVERAGE(J137,J138,J139,J140)</f>
        <v/>
      </c>
      <c r="K141" s="19" t="inlineStr"/>
      <c r="L141" s="18">
        <f>L137+L138+L139+L140</f>
        <v/>
      </c>
      <c r="M141" s="19" t="inlineStr"/>
      <c r="N141" s="18">
        <f>N137+N138+N139+N140</f>
        <v/>
      </c>
      <c r="O141" s="18">
        <f>O137+O138+O139+O140</f>
        <v/>
      </c>
      <c r="P141" s="18">
        <f>P137+P138+P139+P140</f>
        <v/>
      </c>
    </row>
    <row r="142" ht="20" customHeight="1">
      <c r="A142" s="3" t="inlineStr">
        <is>
          <t>31.  Acc_OOS  —  Out of Service</t>
        </is>
      </c>
    </row>
    <row r="143" ht="18" customHeight="1">
      <c r="A143" s="4" t="inlineStr"/>
      <c r="B143" s="5" t="inlineStr">
        <is>
          <t>Acc_OOS</t>
        </is>
      </c>
      <c r="C143" s="6" t="inlineStr">
        <is>
          <t>Out of Service</t>
        </is>
      </c>
      <c r="D143" s="7" t="inlineStr">
        <is>
          <t>TK155</t>
        </is>
      </c>
      <c r="E143" s="8" t="n">
        <v>27</v>
      </c>
      <c r="F143" s="9" t="n">
        <v>41.2</v>
      </c>
      <c r="G143" s="8" t="n">
        <v>27</v>
      </c>
      <c r="H143" s="8" t="n">
        <v>27</v>
      </c>
      <c r="I143" s="8" t="n">
        <v>0</v>
      </c>
      <c r="J143" s="9" t="n">
        <v>41.2</v>
      </c>
      <c r="K143" s="8" t="n">
        <v>72</v>
      </c>
      <c r="L143" s="8" t="n">
        <v>0</v>
      </c>
      <c r="M143" s="8" t="n">
        <v>0</v>
      </c>
      <c r="N143" s="8" t="n">
        <v>27</v>
      </c>
      <c r="O143" s="8" t="n">
        <v>399973</v>
      </c>
      <c r="P143" s="8" t="n">
        <v>0</v>
      </c>
    </row>
    <row r="144" ht="18" customHeight="1">
      <c r="A144" s="10" t="inlineStr"/>
      <c r="B144" s="10" t="inlineStr"/>
      <c r="C144" s="11" t="inlineStr"/>
      <c r="D144" s="12" t="inlineStr">
        <is>
          <t>TK157</t>
        </is>
      </c>
      <c r="E144" s="13" t="n">
        <v>7199.87</v>
      </c>
      <c r="F144" s="20" t="n">
        <v>60</v>
      </c>
      <c r="G144" s="13" t="n">
        <v>7132.01</v>
      </c>
      <c r="H144" s="13" t="n">
        <v>7132.01</v>
      </c>
      <c r="I144" s="13" t="n">
        <v>14.271</v>
      </c>
      <c r="J144" s="20" t="n">
        <v>60</v>
      </c>
      <c r="K144" s="20" t="n">
        <v>62</v>
      </c>
      <c r="L144" s="20" t="n">
        <v>0</v>
      </c>
      <c r="M144" s="20" t="n">
        <v>0</v>
      </c>
      <c r="N144" s="13" t="n">
        <v>7132.01</v>
      </c>
      <c r="O144" s="13" t="n">
        <v>392867.99</v>
      </c>
      <c r="P144" s="13" t="n">
        <v>-67.86</v>
      </c>
    </row>
    <row r="145" ht="18" customHeight="1">
      <c r="A145" s="4" t="inlineStr"/>
      <c r="B145" s="4" t="inlineStr"/>
      <c r="C145" s="6" t="inlineStr"/>
      <c r="D145" s="7" t="inlineStr">
        <is>
          <t>TK187</t>
        </is>
      </c>
      <c r="E145" s="8" t="n">
        <v>5</v>
      </c>
      <c r="F145" s="9" t="n">
        <v>51.8</v>
      </c>
      <c r="G145" s="8" t="n">
        <v>5</v>
      </c>
      <c r="H145" s="8" t="n">
        <v>5</v>
      </c>
      <c r="I145" s="8" t="n">
        <v>0</v>
      </c>
      <c r="J145" s="9" t="n">
        <v>51.8</v>
      </c>
      <c r="K145" s="8" t="n">
        <v>411</v>
      </c>
      <c r="L145" s="8" t="n">
        <v>0</v>
      </c>
      <c r="M145" s="8" t="n">
        <v>0</v>
      </c>
      <c r="N145" s="8" t="n">
        <v>5</v>
      </c>
      <c r="O145" s="8" t="n">
        <v>399995</v>
      </c>
      <c r="P145" s="8" t="n">
        <v>0</v>
      </c>
    </row>
    <row r="146" ht="18" customHeight="1">
      <c r="A146" s="10" t="inlineStr"/>
      <c r="B146" s="10" t="inlineStr"/>
      <c r="C146" s="11" t="inlineStr"/>
      <c r="D146" s="12" t="inlineStr">
        <is>
          <t>TK289</t>
        </is>
      </c>
      <c r="E146" s="13" t="n">
        <v>737.9400000000001</v>
      </c>
      <c r="F146" s="20" t="n">
        <v>60</v>
      </c>
      <c r="G146" s="13" t="n">
        <v>737.9400000000001</v>
      </c>
      <c r="H146" s="13" t="n">
        <v>737.9400000000001</v>
      </c>
      <c r="I146" s="13" t="n">
        <v>5.927</v>
      </c>
      <c r="J146" s="20" t="n">
        <v>60</v>
      </c>
      <c r="K146" s="13" t="n">
        <v>65.40000000000001</v>
      </c>
      <c r="L146" s="20" t="n">
        <v>0</v>
      </c>
      <c r="M146" s="20" t="n">
        <v>0</v>
      </c>
      <c r="N146" s="13" t="n">
        <v>737.9400000000001</v>
      </c>
      <c r="O146" s="13" t="n">
        <v>399262.06</v>
      </c>
      <c r="P146" s="20" t="n">
        <v>0</v>
      </c>
    </row>
    <row r="147" ht="18" customHeight="1">
      <c r="A147" s="4" t="inlineStr"/>
      <c r="B147" s="4" t="inlineStr"/>
      <c r="C147" s="6" t="inlineStr"/>
      <c r="D147" s="7" t="inlineStr">
        <is>
          <t>TK355</t>
        </is>
      </c>
      <c r="E147" s="9" t="n">
        <v>1770.18</v>
      </c>
      <c r="F147" s="9" t="n">
        <v>146.88</v>
      </c>
      <c r="G147" s="9" t="n">
        <v>1770.18</v>
      </c>
      <c r="H147" s="9" t="n">
        <v>1770.18</v>
      </c>
      <c r="I147" s="8" t="n">
        <v>12</v>
      </c>
      <c r="J147" s="9" t="n">
        <v>146.88</v>
      </c>
      <c r="K147" s="8" t="n">
        <v>71</v>
      </c>
      <c r="L147" s="8" t="n">
        <v>0</v>
      </c>
      <c r="M147" s="8" t="n">
        <v>0</v>
      </c>
      <c r="N147" s="9" t="n">
        <v>1770.18</v>
      </c>
      <c r="O147" s="9" t="n">
        <v>398229.82</v>
      </c>
      <c r="P147" s="8" t="n">
        <v>0</v>
      </c>
    </row>
    <row r="148" ht="18" customHeight="1">
      <c r="A148" s="10" t="inlineStr"/>
      <c r="B148" s="10" t="inlineStr"/>
      <c r="C148" s="11" t="inlineStr"/>
      <c r="D148" s="12" t="inlineStr">
        <is>
          <t>TK42</t>
        </is>
      </c>
      <c r="E148" s="13" t="n">
        <v>7263.49</v>
      </c>
      <c r="F148" s="13" t="n">
        <v>60.35</v>
      </c>
      <c r="G148" s="13" t="n">
        <v>7263.49</v>
      </c>
      <c r="H148" s="13" t="n">
        <v>7263.49</v>
      </c>
      <c r="I148" s="13" t="n">
        <v>3.625</v>
      </c>
      <c r="J148" s="13" t="n">
        <v>60.35</v>
      </c>
      <c r="K148" s="13" t="n">
        <v>56.6</v>
      </c>
      <c r="L148" s="20" t="n">
        <v>0</v>
      </c>
      <c r="M148" s="20" t="n">
        <v>0</v>
      </c>
      <c r="N148" s="13" t="n">
        <v>7263.49</v>
      </c>
      <c r="O148" s="13" t="n">
        <v>392736.51</v>
      </c>
      <c r="P148" s="20" t="n">
        <v>0</v>
      </c>
    </row>
    <row r="149" ht="18" customHeight="1">
      <c r="A149" s="4" t="inlineStr"/>
      <c r="B149" s="4" t="inlineStr"/>
      <c r="C149" s="6" t="inlineStr"/>
      <c r="D149" s="7" t="inlineStr">
        <is>
          <t>TK620</t>
        </is>
      </c>
      <c r="E149" s="8" t="n">
        <v>83</v>
      </c>
      <c r="F149" s="9" t="n">
        <v>-52.857</v>
      </c>
      <c r="G149" s="8" t="n">
        <v>83</v>
      </c>
      <c r="H149" s="8" t="n">
        <v>83</v>
      </c>
      <c r="I149" s="8" t="n">
        <v>0</v>
      </c>
      <c r="J149" s="9" t="n">
        <v>-52.857</v>
      </c>
      <c r="K149" s="9" t="n">
        <v>22.123</v>
      </c>
      <c r="L149" s="8" t="n">
        <v>0</v>
      </c>
      <c r="M149" s="8" t="n">
        <v>0</v>
      </c>
      <c r="N149" s="8" t="n">
        <v>83</v>
      </c>
      <c r="O149" s="8" t="n">
        <v>399917</v>
      </c>
      <c r="P149" s="8" t="n">
        <v>0</v>
      </c>
    </row>
    <row r="150" ht="18" customHeight="1">
      <c r="A150" s="10" t="inlineStr"/>
      <c r="B150" s="10" t="inlineStr"/>
      <c r="C150" s="11" t="inlineStr"/>
      <c r="D150" s="12" t="inlineStr">
        <is>
          <t>TK776</t>
        </is>
      </c>
      <c r="E150" s="13" t="n">
        <v>295.663</v>
      </c>
      <c r="F150" s="20" t="n">
        <v>18</v>
      </c>
      <c r="G150" s="13" t="n">
        <v>70.992</v>
      </c>
      <c r="H150" s="13" t="n">
        <v>70.992</v>
      </c>
      <c r="I150" s="20" t="n">
        <v>0</v>
      </c>
      <c r="J150" s="20" t="n">
        <v>18</v>
      </c>
      <c r="K150" s="13" t="n">
        <v>62.121</v>
      </c>
      <c r="L150" s="20" t="n">
        <v>0</v>
      </c>
      <c r="M150" s="20" t="n">
        <v>0</v>
      </c>
      <c r="N150" s="13" t="n">
        <v>70.992</v>
      </c>
      <c r="O150" s="13" t="n">
        <v>399929.008</v>
      </c>
      <c r="P150" s="13" t="n">
        <v>-224.671</v>
      </c>
    </row>
    <row r="151" ht="18" customHeight="1">
      <c r="A151" s="4" t="inlineStr"/>
      <c r="B151" s="4" t="inlineStr"/>
      <c r="C151" s="6" t="inlineStr"/>
      <c r="D151" s="7" t="inlineStr">
        <is>
          <t>TK905</t>
        </is>
      </c>
      <c r="E151" s="8" t="n">
        <v>7</v>
      </c>
      <c r="F151" s="9" t="n">
        <v>32.5</v>
      </c>
      <c r="G151" s="8" t="n">
        <v>7</v>
      </c>
      <c r="H151" s="8" t="n">
        <v>7</v>
      </c>
      <c r="I151" s="8" t="n">
        <v>0</v>
      </c>
      <c r="J151" s="9" t="n">
        <v>32.5</v>
      </c>
      <c r="K151" s="8" t="n">
        <v>60</v>
      </c>
      <c r="L151" s="8" t="n">
        <v>0</v>
      </c>
      <c r="M151" s="8" t="n">
        <v>0</v>
      </c>
      <c r="N151" s="8" t="n">
        <v>7</v>
      </c>
      <c r="O151" s="8" t="n">
        <v>399993</v>
      </c>
      <c r="P151" s="8" t="n">
        <v>0</v>
      </c>
    </row>
    <row r="152" ht="20" customHeight="1">
      <c r="A152" s="14" t="inlineStr"/>
      <c r="B152" s="15" t="inlineStr">
        <is>
          <t>Acc_OOS</t>
        </is>
      </c>
      <c r="C152" s="16" t="inlineStr">
        <is>
          <t>Out of Service</t>
        </is>
      </c>
      <c r="D152" s="17" t="inlineStr">
        <is>
          <t>Total</t>
        </is>
      </c>
      <c r="E152" s="18">
        <f>E143+E144+E145+E146+E147+E148+E149+E150+E151</f>
        <v/>
      </c>
      <c r="F152" s="18">
        <f>AVERAGE(F143,F144,F145,F146,F147,F148,F149,F150,F151)</f>
        <v/>
      </c>
      <c r="G152" s="18">
        <f>G143+G144+G145+G146+G147+G148+G149+G150+G151</f>
        <v/>
      </c>
      <c r="H152" s="18">
        <f>H143+H144+H145+H146+H147+H148+H149+H150+H151</f>
        <v/>
      </c>
      <c r="I152" s="19" t="inlineStr"/>
      <c r="J152" s="18">
        <f>AVERAGE(J143,J144,J145,J146,J147,J148,J149,J150,J151)</f>
        <v/>
      </c>
      <c r="K152" s="19" t="inlineStr"/>
      <c r="L152" s="18">
        <f>L143+L144+L145+L146+L147+L148+L149+L150+L151</f>
        <v/>
      </c>
      <c r="M152" s="19" t="inlineStr"/>
      <c r="N152" s="18">
        <f>N143+N144+N145+N146+N147+N148+N149+N150+N151</f>
        <v/>
      </c>
      <c r="O152" s="18">
        <f>O143+O144+O145+O146+O147+O148+O149+O150+O151</f>
        <v/>
      </c>
      <c r="P152" s="18">
        <f>P143+P144+P145+P146+P147+P148+P149+P150+P151</f>
        <v/>
      </c>
    </row>
    <row r="153" ht="20" customHeight="1">
      <c r="A153" s="3" t="inlineStr">
        <is>
          <t>32.  Acc_PetCoke  —  Petroleum Coke</t>
        </is>
      </c>
    </row>
    <row r="154" ht="18" customHeight="1">
      <c r="A154" s="4" t="inlineStr"/>
      <c r="B154" s="5" t="inlineStr">
        <is>
          <t>Acc_PetCoke</t>
        </is>
      </c>
      <c r="C154" s="6" t="inlineStr">
        <is>
          <t>Petroleum Coke</t>
        </is>
      </c>
      <c r="D154" s="7" t="inlineStr">
        <is>
          <t>TK_Coke</t>
        </is>
      </c>
      <c r="E154" s="9" t="n">
        <v>88817.36</v>
      </c>
      <c r="F154" s="8" t="n">
        <v>0</v>
      </c>
      <c r="G154" s="9" t="n">
        <v>100175.798</v>
      </c>
      <c r="H154" s="9" t="n">
        <v>100175.798</v>
      </c>
      <c r="I154" s="8" t="n">
        <v>0</v>
      </c>
      <c r="J154" s="8" t="n">
        <v>0</v>
      </c>
      <c r="K154" s="8" t="n">
        <v>60</v>
      </c>
      <c r="L154" s="8" t="n">
        <v>0</v>
      </c>
      <c r="M154" s="8" t="n">
        <v>0</v>
      </c>
      <c r="N154" s="9" t="n">
        <v>100175.798</v>
      </c>
      <c r="O154" s="9" t="n">
        <v>299824.202</v>
      </c>
      <c r="P154" s="9" t="n">
        <v>11358.438</v>
      </c>
    </row>
    <row r="155" ht="20" customHeight="1">
      <c r="A155" s="14" t="inlineStr"/>
      <c r="B155" s="15" t="inlineStr">
        <is>
          <t>Acc_PetCoke</t>
        </is>
      </c>
      <c r="C155" s="16" t="inlineStr">
        <is>
          <t>Petroleum Coke</t>
        </is>
      </c>
      <c r="D155" s="17" t="inlineStr">
        <is>
          <t>Total</t>
        </is>
      </c>
      <c r="E155" s="18">
        <f>E154</f>
        <v/>
      </c>
      <c r="F155" s="18">
        <f>AVERAGE(F154)</f>
        <v/>
      </c>
      <c r="G155" s="18">
        <f>G154</f>
        <v/>
      </c>
      <c r="H155" s="18">
        <f>H154</f>
        <v/>
      </c>
      <c r="I155" s="19" t="inlineStr"/>
      <c r="J155" s="18">
        <f>AVERAGE(J154)</f>
        <v/>
      </c>
      <c r="K155" s="19" t="inlineStr"/>
      <c r="L155" s="18">
        <f>L154</f>
        <v/>
      </c>
      <c r="M155" s="19" t="inlineStr"/>
      <c r="N155" s="18">
        <f>N154</f>
        <v/>
      </c>
      <c r="O155" s="18">
        <f>O154</f>
        <v/>
      </c>
      <c r="P155" s="18">
        <f>P154</f>
        <v/>
      </c>
    </row>
    <row r="156" ht="20" customHeight="1">
      <c r="A156" s="3" t="inlineStr">
        <is>
          <t>33.  Acc_Reformate  —  Reformate</t>
        </is>
      </c>
    </row>
    <row r="157" ht="18" customHeight="1">
      <c r="A157" s="4" t="inlineStr"/>
      <c r="B157" s="5" t="inlineStr">
        <is>
          <t>Acc_Reformate</t>
        </is>
      </c>
      <c r="C157" s="6" t="inlineStr">
        <is>
          <t>Reformate</t>
        </is>
      </c>
      <c r="D157" s="7" t="inlineStr">
        <is>
          <t>TK62</t>
        </is>
      </c>
      <c r="E157" s="9" t="n">
        <v>69965.857</v>
      </c>
      <c r="F157" s="9" t="n">
        <v>48.1</v>
      </c>
      <c r="G157" s="9" t="n">
        <v>76147.05499999999</v>
      </c>
      <c r="H157" s="9" t="n">
        <v>76873.50999999999</v>
      </c>
      <c r="I157" s="9" t="n">
        <v>30.563</v>
      </c>
      <c r="J157" s="9" t="n">
        <v>48.1</v>
      </c>
      <c r="K157" s="9" t="n">
        <v>77.59999999999999</v>
      </c>
      <c r="L157" s="8" t="n">
        <v>0</v>
      </c>
      <c r="M157" s="8" t="n">
        <v>0</v>
      </c>
      <c r="N157" s="9" t="n">
        <v>76147.05499999999</v>
      </c>
      <c r="O157" s="9" t="n">
        <v>323852.945</v>
      </c>
      <c r="P157" s="9" t="n">
        <v>6181.198</v>
      </c>
    </row>
    <row r="158" ht="18" customHeight="1">
      <c r="A158" s="10" t="inlineStr"/>
      <c r="B158" s="10" t="inlineStr"/>
      <c r="C158" s="11" t="inlineStr"/>
      <c r="D158" s="12" t="inlineStr">
        <is>
          <t>TK63</t>
        </is>
      </c>
      <c r="E158" s="13" t="n">
        <v>42383.44</v>
      </c>
      <c r="F158" s="13" t="n">
        <v>52.6</v>
      </c>
      <c r="G158" s="13" t="n">
        <v>47949.85</v>
      </c>
      <c r="H158" s="13" t="n">
        <v>48254.82</v>
      </c>
      <c r="I158" s="13" t="n">
        <v>19.479</v>
      </c>
      <c r="J158" s="13" t="n">
        <v>52.6</v>
      </c>
      <c r="K158" s="13" t="n">
        <v>69.8</v>
      </c>
      <c r="L158" s="20" t="n">
        <v>0</v>
      </c>
      <c r="M158" s="20" t="n">
        <v>0</v>
      </c>
      <c r="N158" s="13" t="n">
        <v>47949.85</v>
      </c>
      <c r="O158" s="13" t="n">
        <v>352050.15</v>
      </c>
      <c r="P158" s="13" t="n">
        <v>5566.41</v>
      </c>
    </row>
    <row r="159" ht="20" customHeight="1">
      <c r="A159" s="14" t="inlineStr"/>
      <c r="B159" s="15" t="inlineStr">
        <is>
          <t>Acc_Reformate</t>
        </is>
      </c>
      <c r="C159" s="16" t="inlineStr">
        <is>
          <t>Reformate</t>
        </is>
      </c>
      <c r="D159" s="17" t="inlineStr">
        <is>
          <t>Total</t>
        </is>
      </c>
      <c r="E159" s="18">
        <f>E157+E158</f>
        <v/>
      </c>
      <c r="F159" s="18">
        <f>AVERAGE(F157,F158)</f>
        <v/>
      </c>
      <c r="G159" s="18">
        <f>G157+G158</f>
        <v/>
      </c>
      <c r="H159" s="18">
        <f>H157+H158</f>
        <v/>
      </c>
      <c r="I159" s="19" t="inlineStr"/>
      <c r="J159" s="18">
        <f>AVERAGE(J157,J158)</f>
        <v/>
      </c>
      <c r="K159" s="19" t="inlineStr"/>
      <c r="L159" s="18">
        <f>L157+L158</f>
        <v/>
      </c>
      <c r="M159" s="19" t="inlineStr"/>
      <c r="N159" s="18">
        <f>N157+N158</f>
        <v/>
      </c>
      <c r="O159" s="18">
        <f>O157+O158</f>
        <v/>
      </c>
      <c r="P159" s="18">
        <f>P157+P158</f>
        <v/>
      </c>
    </row>
    <row r="160" ht="20" customHeight="1">
      <c r="A160" s="3" t="inlineStr">
        <is>
          <t>34.  Acc_RefPropylene  —  Refinery Grade Propylene</t>
        </is>
      </c>
    </row>
    <row r="161" ht="18" customHeight="1">
      <c r="A161" s="4" t="inlineStr"/>
      <c r="B161" s="5" t="inlineStr">
        <is>
          <t>Acc_RefPropylene</t>
        </is>
      </c>
      <c r="C161" s="6" t="inlineStr">
        <is>
          <t>Refinery Grade Propylene</t>
        </is>
      </c>
      <c r="D161" s="7" t="inlineStr">
        <is>
          <t>TK350</t>
        </is>
      </c>
      <c r="E161" s="9" t="n">
        <v>653.51</v>
      </c>
      <c r="F161" s="9" t="n">
        <v>140.1</v>
      </c>
      <c r="G161" s="9" t="n">
        <v>873.9400000000001</v>
      </c>
      <c r="H161" s="9" t="n">
        <v>873.9400000000001</v>
      </c>
      <c r="I161" s="9" t="n">
        <v>5.936</v>
      </c>
      <c r="J161" s="9" t="n">
        <v>140.1</v>
      </c>
      <c r="K161" s="9" t="n">
        <v>65.3</v>
      </c>
      <c r="L161" s="8" t="n">
        <v>0</v>
      </c>
      <c r="M161" s="8" t="n">
        <v>0</v>
      </c>
      <c r="N161" s="9" t="n">
        <v>873.9400000000001</v>
      </c>
      <c r="O161" s="9" t="n">
        <v>399126.06</v>
      </c>
      <c r="P161" s="9" t="n">
        <v>220.43</v>
      </c>
    </row>
    <row r="162" ht="18" customHeight="1">
      <c r="A162" s="10" t="inlineStr"/>
      <c r="B162" s="10" t="inlineStr"/>
      <c r="C162" s="11" t="inlineStr"/>
      <c r="D162" s="12" t="inlineStr">
        <is>
          <t>TK351</t>
        </is>
      </c>
      <c r="E162" s="13" t="n">
        <v>549.728</v>
      </c>
      <c r="F162" s="13" t="n">
        <v>140.1</v>
      </c>
      <c r="G162" s="13" t="n">
        <v>808.027</v>
      </c>
      <c r="H162" s="13" t="n">
        <v>808.027</v>
      </c>
      <c r="I162" s="20" t="n">
        <v>0</v>
      </c>
      <c r="J162" s="13" t="n">
        <v>140.1</v>
      </c>
      <c r="K162" s="13" t="n">
        <v>64.625</v>
      </c>
      <c r="L162" s="20" t="n">
        <v>0</v>
      </c>
      <c r="M162" s="20" t="n">
        <v>0</v>
      </c>
      <c r="N162" s="13" t="n">
        <v>808.027</v>
      </c>
      <c r="O162" s="13" t="n">
        <v>399191.973</v>
      </c>
      <c r="P162" s="13" t="n">
        <v>258.299</v>
      </c>
    </row>
    <row r="163" ht="18" customHeight="1">
      <c r="A163" s="4" t="inlineStr"/>
      <c r="B163" s="4" t="inlineStr"/>
      <c r="C163" s="6" t="inlineStr"/>
      <c r="D163" s="7" t="inlineStr">
        <is>
          <t>TK352</t>
        </is>
      </c>
      <c r="E163" s="9" t="n">
        <v>935.492</v>
      </c>
      <c r="F163" s="9" t="n">
        <v>146.82</v>
      </c>
      <c r="G163" s="9" t="n">
        <v>935.492</v>
      </c>
      <c r="H163" s="9" t="n">
        <v>935.492</v>
      </c>
      <c r="I163" s="8" t="n">
        <v>0</v>
      </c>
      <c r="J163" s="9" t="n">
        <v>146.82</v>
      </c>
      <c r="K163" s="9" t="n">
        <v>64.285</v>
      </c>
      <c r="L163" s="8" t="n">
        <v>0</v>
      </c>
      <c r="M163" s="8" t="n">
        <v>0</v>
      </c>
      <c r="N163" s="9" t="n">
        <v>935.492</v>
      </c>
      <c r="O163" s="9" t="n">
        <v>399064.508</v>
      </c>
      <c r="P163" s="8" t="n">
        <v>0</v>
      </c>
    </row>
    <row r="164" ht="18" customHeight="1">
      <c r="A164" s="10" t="inlineStr"/>
      <c r="B164" s="10" t="inlineStr"/>
      <c r="C164" s="11" t="inlineStr"/>
      <c r="D164" s="12" t="inlineStr">
        <is>
          <t>TK353</t>
        </is>
      </c>
      <c r="E164" s="13" t="n">
        <v>1017.76</v>
      </c>
      <c r="F164" s="13" t="n">
        <v>146.71</v>
      </c>
      <c r="G164" s="13" t="n">
        <v>846.17</v>
      </c>
      <c r="H164" s="13" t="n">
        <v>846.17</v>
      </c>
      <c r="I164" s="13" t="n">
        <v>5.806</v>
      </c>
      <c r="J164" s="13" t="n">
        <v>146.71</v>
      </c>
      <c r="K164" s="13" t="n">
        <v>65.09699999999999</v>
      </c>
      <c r="L164" s="20" t="n">
        <v>0</v>
      </c>
      <c r="M164" s="20" t="n">
        <v>0</v>
      </c>
      <c r="N164" s="13" t="n">
        <v>846.17</v>
      </c>
      <c r="O164" s="13" t="n">
        <v>399153.83</v>
      </c>
      <c r="P164" s="13" t="n">
        <v>-171.59</v>
      </c>
    </row>
    <row r="165" ht="20" customHeight="1">
      <c r="A165" s="14" t="inlineStr"/>
      <c r="B165" s="15" t="inlineStr">
        <is>
          <t>Acc_RefPropylene</t>
        </is>
      </c>
      <c r="C165" s="16" t="inlineStr">
        <is>
          <t>Refinery Grade Propylene</t>
        </is>
      </c>
      <c r="D165" s="17" t="inlineStr">
        <is>
          <t>Total</t>
        </is>
      </c>
      <c r="E165" s="18">
        <f>E161+E162+E163+E164</f>
        <v/>
      </c>
      <c r="F165" s="18">
        <f>AVERAGE(F161,F162,F163,F164)</f>
        <v/>
      </c>
      <c r="G165" s="18">
        <f>G161+G162+G163+G164</f>
        <v/>
      </c>
      <c r="H165" s="18">
        <f>H161+H162+H163+H164</f>
        <v/>
      </c>
      <c r="I165" s="19" t="inlineStr"/>
      <c r="J165" s="18">
        <f>AVERAGE(J161,J162,J163,J164)</f>
        <v/>
      </c>
      <c r="K165" s="19" t="inlineStr"/>
      <c r="L165" s="18">
        <f>L161+L162+L163+L164</f>
        <v/>
      </c>
      <c r="M165" s="19" t="inlineStr"/>
      <c r="N165" s="18">
        <f>N161+N162+N163+N164</f>
        <v/>
      </c>
      <c r="O165" s="18">
        <f>O161+O162+O163+O164</f>
        <v/>
      </c>
      <c r="P165" s="18">
        <f>P161+P162+P163+P164</f>
        <v/>
      </c>
    </row>
    <row r="166" ht="20" customHeight="1">
      <c r="A166" s="3" t="inlineStr">
        <is>
          <t>35.  Acc_RenewDiesel  —  Renewable Diesel Consumption</t>
        </is>
      </c>
    </row>
    <row r="167" ht="18" customHeight="1">
      <c r="A167" s="4" t="inlineStr"/>
      <c r="B167" s="5" t="inlineStr">
        <is>
          <t>Acc_RenewDiesel</t>
        </is>
      </c>
      <c r="C167" s="6" t="inlineStr">
        <is>
          <t>Renewable Diesel Consumption</t>
        </is>
      </c>
      <c r="D167" s="7" t="inlineStr">
        <is>
          <t>TK36</t>
        </is>
      </c>
      <c r="E167" s="9" t="n">
        <v>17672.455</v>
      </c>
      <c r="F167" s="9" t="n">
        <v>49.7</v>
      </c>
      <c r="G167" s="9" t="n">
        <v>17675.776</v>
      </c>
      <c r="H167" s="9" t="n">
        <v>17624.84</v>
      </c>
      <c r="I167" s="8" t="n">
        <v>0</v>
      </c>
      <c r="J167" s="9" t="n">
        <v>49.7</v>
      </c>
      <c r="K167" s="9" t="n">
        <v>55</v>
      </c>
      <c r="L167" s="8" t="n">
        <v>0</v>
      </c>
      <c r="M167" s="8" t="n">
        <v>0</v>
      </c>
      <c r="N167" s="9" t="n">
        <v>17675.776</v>
      </c>
      <c r="O167" s="9" t="n">
        <v>382324.224</v>
      </c>
      <c r="P167" s="9" t="n">
        <v>3.321</v>
      </c>
    </row>
    <row r="168" ht="18" customHeight="1">
      <c r="A168" s="10" t="inlineStr"/>
      <c r="B168" s="10" t="inlineStr"/>
      <c r="C168" s="11" t="inlineStr"/>
      <c r="D168" s="12" t="inlineStr">
        <is>
          <t>TK37</t>
        </is>
      </c>
      <c r="E168" s="13" t="n">
        <v>8101.619</v>
      </c>
      <c r="F168" s="13" t="n">
        <v>49.5</v>
      </c>
      <c r="G168" s="13" t="n">
        <v>8100.646</v>
      </c>
      <c r="H168" s="13" t="n">
        <v>8111.84</v>
      </c>
      <c r="I168" s="13" t="n">
        <v>16.521</v>
      </c>
      <c r="J168" s="13" t="n">
        <v>49.5</v>
      </c>
      <c r="K168" s="13" t="n">
        <v>62.4</v>
      </c>
      <c r="L168" s="13" t="n">
        <v>43.833</v>
      </c>
      <c r="M168" s="13" t="n">
        <v>0.167</v>
      </c>
      <c r="N168" s="13" t="n">
        <v>8100.646</v>
      </c>
      <c r="O168" s="13" t="n">
        <v>391899.354</v>
      </c>
      <c r="P168" s="13" t="n">
        <v>-0.973</v>
      </c>
    </row>
    <row r="169" ht="18" customHeight="1">
      <c r="A169" s="4" t="inlineStr"/>
      <c r="B169" s="4" t="inlineStr"/>
      <c r="C169" s="6" t="inlineStr"/>
      <c r="D169" s="7" t="inlineStr">
        <is>
          <t>TK39</t>
        </is>
      </c>
      <c r="E169" s="9" t="n">
        <v>23319.923</v>
      </c>
      <c r="F169" s="8" t="n">
        <v>49</v>
      </c>
      <c r="G169" s="9" t="n">
        <v>23376.922</v>
      </c>
      <c r="H169" s="9" t="n">
        <v>23397.98</v>
      </c>
      <c r="I169" s="9" t="n">
        <v>34.708</v>
      </c>
      <c r="J169" s="8" t="n">
        <v>49</v>
      </c>
      <c r="K169" s="9" t="n">
        <v>61.6</v>
      </c>
      <c r="L169" s="8" t="n">
        <v>0</v>
      </c>
      <c r="M169" s="8" t="n">
        <v>0</v>
      </c>
      <c r="N169" s="9" t="n">
        <v>23376.922</v>
      </c>
      <c r="O169" s="9" t="n">
        <v>376623.078</v>
      </c>
      <c r="P169" s="9" t="n">
        <v>56.999</v>
      </c>
    </row>
    <row r="170" ht="20" customHeight="1">
      <c r="A170" s="14" t="inlineStr"/>
      <c r="B170" s="15" t="inlineStr">
        <is>
          <t>Acc_RenewDiesel</t>
        </is>
      </c>
      <c r="C170" s="16" t="inlineStr">
        <is>
          <t>Renewable Diesel Consumption</t>
        </is>
      </c>
      <c r="D170" s="17" t="inlineStr">
        <is>
          <t>Total</t>
        </is>
      </c>
      <c r="E170" s="18">
        <f>E167+E168+E169</f>
        <v/>
      </c>
      <c r="F170" s="18">
        <f>AVERAGE(F167,F168,F169)</f>
        <v/>
      </c>
      <c r="G170" s="18">
        <f>G167+G168+G169</f>
        <v/>
      </c>
      <c r="H170" s="18">
        <f>H167+H168+H169</f>
        <v/>
      </c>
      <c r="I170" s="19" t="inlineStr"/>
      <c r="J170" s="18">
        <f>AVERAGE(J167,J168,J169)</f>
        <v/>
      </c>
      <c r="K170" s="19" t="inlineStr"/>
      <c r="L170" s="18">
        <f>L167+L168+L169</f>
        <v/>
      </c>
      <c r="M170" s="19" t="inlineStr"/>
      <c r="N170" s="18">
        <f>N167+N168+N169</f>
        <v/>
      </c>
      <c r="O170" s="18">
        <f>O167+O168+O169</f>
        <v/>
      </c>
      <c r="P170" s="18">
        <f>P167+P168+P169</f>
        <v/>
      </c>
    </row>
    <row r="171" ht="20" customHeight="1">
      <c r="A171" s="3" t="inlineStr">
        <is>
          <t>36.  Acc_RenewNaph  —  Renewable Naphtha Consumption</t>
        </is>
      </c>
    </row>
    <row r="172" ht="18" customHeight="1">
      <c r="A172" s="4" t="inlineStr"/>
      <c r="B172" s="5" t="inlineStr">
        <is>
          <t>Acc_RenewNaph</t>
        </is>
      </c>
      <c r="C172" s="6" t="inlineStr">
        <is>
          <t>Renewable Naphtha Consumption</t>
        </is>
      </c>
      <c r="D172" s="7" t="inlineStr">
        <is>
          <t>TK27</t>
        </is>
      </c>
      <c r="E172" s="9" t="n">
        <v>9371.799999999999</v>
      </c>
      <c r="F172" s="9" t="n">
        <v>72.72</v>
      </c>
      <c r="G172" s="9" t="n">
        <v>7233.84</v>
      </c>
      <c r="H172" s="9" t="n">
        <v>7233.84</v>
      </c>
      <c r="I172" s="9" t="n">
        <v>15.198</v>
      </c>
      <c r="J172" s="9" t="n">
        <v>72.72</v>
      </c>
      <c r="K172" s="9" t="n">
        <v>74.40000000000001</v>
      </c>
      <c r="L172" s="9" t="n">
        <v>18.956</v>
      </c>
      <c r="M172" s="9" t="n">
        <v>0.083</v>
      </c>
      <c r="N172" s="9" t="n">
        <v>7233.84</v>
      </c>
      <c r="O172" s="9" t="n">
        <v>392766.16</v>
      </c>
      <c r="P172" s="9" t="n">
        <v>-2137.96</v>
      </c>
    </row>
    <row r="173" ht="18" customHeight="1">
      <c r="A173" s="10" t="inlineStr"/>
      <c r="B173" s="10" t="inlineStr"/>
      <c r="C173" s="11" t="inlineStr"/>
      <c r="D173" s="12" t="inlineStr">
        <is>
          <t>TK28</t>
        </is>
      </c>
      <c r="E173" s="13" t="n">
        <v>9396.9</v>
      </c>
      <c r="F173" s="13" t="n">
        <v>72.72</v>
      </c>
      <c r="G173" s="13" t="n">
        <v>7233.23</v>
      </c>
      <c r="H173" s="13" t="n">
        <v>7233.23</v>
      </c>
      <c r="I173" s="13" t="n">
        <v>15.167</v>
      </c>
      <c r="J173" s="13" t="n">
        <v>72.72</v>
      </c>
      <c r="K173" s="13" t="n">
        <v>67.8</v>
      </c>
      <c r="L173" s="13" t="n">
        <v>31.936</v>
      </c>
      <c r="M173" s="13" t="n">
        <v>0.083</v>
      </c>
      <c r="N173" s="13" t="n">
        <v>7233.23</v>
      </c>
      <c r="O173" s="13" t="n">
        <v>392766.77</v>
      </c>
      <c r="P173" s="13" t="n">
        <v>-2163.67</v>
      </c>
    </row>
    <row r="174" ht="20" customHeight="1">
      <c r="A174" s="14" t="inlineStr"/>
      <c r="B174" s="15" t="inlineStr">
        <is>
          <t>Acc_RenewNaph</t>
        </is>
      </c>
      <c r="C174" s="16" t="inlineStr">
        <is>
          <t>Renewable Naphtha Consumption</t>
        </is>
      </c>
      <c r="D174" s="17" t="inlineStr">
        <is>
          <t>Total</t>
        </is>
      </c>
      <c r="E174" s="18">
        <f>E172+E173</f>
        <v/>
      </c>
      <c r="F174" s="18">
        <f>AVERAGE(F172,F173)</f>
        <v/>
      </c>
      <c r="G174" s="18">
        <f>G172+G173</f>
        <v/>
      </c>
      <c r="H174" s="18">
        <f>H172+H173</f>
        <v/>
      </c>
      <c r="I174" s="19" t="inlineStr"/>
      <c r="J174" s="18">
        <f>AVERAGE(J172,J173)</f>
        <v/>
      </c>
      <c r="K174" s="19" t="inlineStr"/>
      <c r="L174" s="18">
        <f>L172+L173</f>
        <v/>
      </c>
      <c r="M174" s="19" t="inlineStr"/>
      <c r="N174" s="18">
        <f>N172+N173</f>
        <v/>
      </c>
      <c r="O174" s="18">
        <f>O172+O173</f>
        <v/>
      </c>
      <c r="P174" s="18">
        <f>P172+P173</f>
        <v/>
      </c>
    </row>
    <row r="175" ht="20" customHeight="1">
      <c r="A175" s="3" t="inlineStr">
        <is>
          <t>37.  Acc_SlopOil  —  Slop Oil</t>
        </is>
      </c>
    </row>
    <row r="176" ht="18" customHeight="1">
      <c r="A176" s="4" t="inlineStr"/>
      <c r="B176" s="5" t="inlineStr">
        <is>
          <t>Acc_SlopOil</t>
        </is>
      </c>
      <c r="C176" s="6" t="inlineStr">
        <is>
          <t>Slop Oil</t>
        </is>
      </c>
      <c r="D176" s="7" t="inlineStr">
        <is>
          <t>TK1</t>
        </is>
      </c>
      <c r="E176" s="9" t="n">
        <v>15320.63</v>
      </c>
      <c r="F176" s="8" t="n">
        <v>15</v>
      </c>
      <c r="G176" s="9" t="n">
        <v>12389.88</v>
      </c>
      <c r="H176" s="9" t="n">
        <v>12389.88</v>
      </c>
      <c r="I176" s="9" t="n">
        <v>30.438</v>
      </c>
      <c r="J176" s="8" t="n">
        <v>15</v>
      </c>
      <c r="K176" s="9" t="n">
        <v>70.8</v>
      </c>
      <c r="L176" s="9" t="n">
        <v>45701.503</v>
      </c>
      <c r="M176" s="9" t="n">
        <v>23.97</v>
      </c>
      <c r="N176" s="9" t="n">
        <v>12389.88</v>
      </c>
      <c r="O176" s="9" t="n">
        <v>387610.12</v>
      </c>
      <c r="P176" s="9" t="n">
        <v>-2930.75</v>
      </c>
    </row>
    <row r="177" ht="18" customHeight="1">
      <c r="A177" s="10" t="inlineStr"/>
      <c r="B177" s="10" t="inlineStr"/>
      <c r="C177" s="11" t="inlineStr"/>
      <c r="D177" s="12" t="inlineStr">
        <is>
          <t>TK101</t>
        </is>
      </c>
      <c r="E177" s="13" t="n">
        <v>1514.02</v>
      </c>
      <c r="F177" s="20" t="n">
        <v>15</v>
      </c>
      <c r="G177" s="13" t="n">
        <v>4560.2</v>
      </c>
      <c r="H177" s="13" t="n">
        <v>4560.2</v>
      </c>
      <c r="I177" s="13" t="n">
        <v>13.052</v>
      </c>
      <c r="J177" s="20" t="n">
        <v>15</v>
      </c>
      <c r="K177" s="20" t="n">
        <v>62</v>
      </c>
      <c r="L177" s="20" t="n">
        <v>1986</v>
      </c>
      <c r="M177" s="20" t="n">
        <v>4</v>
      </c>
      <c r="N177" s="13" t="n">
        <v>4560.2</v>
      </c>
      <c r="O177" s="13" t="n">
        <v>395439.8</v>
      </c>
      <c r="P177" s="13" t="n">
        <v>3046.18</v>
      </c>
    </row>
    <row r="178" ht="18" customHeight="1">
      <c r="A178" s="4" t="inlineStr"/>
      <c r="B178" s="4" t="inlineStr"/>
      <c r="C178" s="6" t="inlineStr"/>
      <c r="D178" s="7" t="inlineStr">
        <is>
          <t>TK102</t>
        </is>
      </c>
      <c r="E178" s="9" t="n">
        <v>1346.7</v>
      </c>
      <c r="F178" s="8" t="n">
        <v>15</v>
      </c>
      <c r="G178" s="9" t="n">
        <v>2470.64</v>
      </c>
      <c r="H178" s="9" t="n">
        <v>2470.64</v>
      </c>
      <c r="I178" s="9" t="n">
        <v>23.208</v>
      </c>
      <c r="J178" s="8" t="n">
        <v>15</v>
      </c>
      <c r="K178" s="9" t="n">
        <v>70.40000000000001</v>
      </c>
      <c r="L178" s="9" t="n">
        <v>9123.200000000001</v>
      </c>
      <c r="M178" s="9" t="n">
        <v>18.3</v>
      </c>
      <c r="N178" s="9" t="n">
        <v>2470.64</v>
      </c>
      <c r="O178" s="9" t="n">
        <v>397529.36</v>
      </c>
      <c r="P178" s="9" t="n">
        <v>1123.94</v>
      </c>
    </row>
    <row r="179" ht="18" customHeight="1">
      <c r="A179" s="10" t="inlineStr"/>
      <c r="B179" s="10" t="inlineStr"/>
      <c r="C179" s="11" t="inlineStr"/>
      <c r="D179" s="12" t="inlineStr">
        <is>
          <t>TK103</t>
        </is>
      </c>
      <c r="E179" s="13" t="n">
        <v>1384.15</v>
      </c>
      <c r="F179" s="20" t="n">
        <v>15</v>
      </c>
      <c r="G179" s="13" t="n">
        <v>2072.2</v>
      </c>
      <c r="H179" s="13" t="n">
        <v>2072.2</v>
      </c>
      <c r="I179" s="13" t="n">
        <v>18.111</v>
      </c>
      <c r="J179" s="20" t="n">
        <v>15</v>
      </c>
      <c r="K179" s="20" t="n">
        <v>100</v>
      </c>
      <c r="L179" s="13" t="n">
        <v>6971.13</v>
      </c>
      <c r="M179" s="20" t="n">
        <v>14</v>
      </c>
      <c r="N179" s="13" t="n">
        <v>2072.2</v>
      </c>
      <c r="O179" s="13" t="n">
        <v>97927.8</v>
      </c>
      <c r="P179" s="13" t="n">
        <v>688.05</v>
      </c>
    </row>
    <row r="180" ht="18" customHeight="1">
      <c r="A180" s="4" t="inlineStr"/>
      <c r="B180" s="4" t="inlineStr"/>
      <c r="C180" s="6" t="inlineStr"/>
      <c r="D180" s="7" t="inlineStr">
        <is>
          <t>TK12</t>
        </is>
      </c>
      <c r="E180" s="9" t="n">
        <v>15641.33</v>
      </c>
      <c r="F180" s="8" t="n">
        <v>30</v>
      </c>
      <c r="G180" s="9" t="n">
        <v>14683.33</v>
      </c>
      <c r="H180" s="9" t="n">
        <v>14683.33</v>
      </c>
      <c r="I180" s="9" t="n">
        <v>22.229</v>
      </c>
      <c r="J180" s="8" t="n">
        <v>30</v>
      </c>
      <c r="K180" s="9" t="n">
        <v>60.2</v>
      </c>
      <c r="L180" s="9" t="n">
        <v>27776.36</v>
      </c>
      <c r="M180" s="9" t="n">
        <v>14.583</v>
      </c>
      <c r="N180" s="9" t="n">
        <v>14683.33</v>
      </c>
      <c r="O180" s="9" t="n">
        <v>385316.67</v>
      </c>
      <c r="P180" s="8" t="n">
        <v>-958</v>
      </c>
    </row>
    <row r="181" ht="18" customHeight="1">
      <c r="A181" s="10" t="inlineStr"/>
      <c r="B181" s="10" t="inlineStr"/>
      <c r="C181" s="11" t="inlineStr"/>
      <c r="D181" s="12" t="inlineStr">
        <is>
          <t>TK154</t>
        </is>
      </c>
      <c r="E181" s="13" t="n">
        <v>1072.5</v>
      </c>
      <c r="F181" s="20" t="n">
        <v>33</v>
      </c>
      <c r="G181" s="13" t="n">
        <v>1072.5</v>
      </c>
      <c r="H181" s="13" t="n">
        <v>1072.5</v>
      </c>
      <c r="I181" s="13" t="n">
        <v>8.625</v>
      </c>
      <c r="J181" s="20" t="n">
        <v>33</v>
      </c>
      <c r="K181" s="13" t="n">
        <v>69.2</v>
      </c>
      <c r="L181" s="13" t="n">
        <v>741.008</v>
      </c>
      <c r="M181" s="13" t="n">
        <v>3.667</v>
      </c>
      <c r="N181" s="13" t="n">
        <v>1072.5</v>
      </c>
      <c r="O181" s="13" t="n">
        <v>398927.5</v>
      </c>
      <c r="P181" s="20" t="n">
        <v>0</v>
      </c>
    </row>
    <row r="182" ht="18" customHeight="1">
      <c r="A182" s="4" t="inlineStr"/>
      <c r="B182" s="4" t="inlineStr"/>
      <c r="C182" s="6" t="inlineStr"/>
      <c r="D182" s="7" t="inlineStr">
        <is>
          <t>TK164</t>
        </is>
      </c>
      <c r="E182" s="9" t="n">
        <v>873.3200000000001</v>
      </c>
      <c r="F182" s="9" t="n">
        <v>40.36</v>
      </c>
      <c r="G182" s="9" t="n">
        <v>873.3200000000001</v>
      </c>
      <c r="H182" s="9" t="n">
        <v>873.3200000000001</v>
      </c>
      <c r="I182" s="9" t="n">
        <v>7.354</v>
      </c>
      <c r="J182" s="9" t="n">
        <v>40.36</v>
      </c>
      <c r="K182" s="8" t="n">
        <v>61</v>
      </c>
      <c r="L182" s="8" t="n">
        <v>0</v>
      </c>
      <c r="M182" s="8" t="n">
        <v>0</v>
      </c>
      <c r="N182" s="9" t="n">
        <v>873.3200000000001</v>
      </c>
      <c r="O182" s="9" t="n">
        <v>399126.68</v>
      </c>
      <c r="P182" s="8" t="n">
        <v>0</v>
      </c>
    </row>
    <row r="183" ht="18" customHeight="1">
      <c r="A183" s="10" t="inlineStr"/>
      <c r="B183" s="10" t="inlineStr"/>
      <c r="C183" s="11" t="inlineStr"/>
      <c r="D183" s="12" t="inlineStr">
        <is>
          <t>TK188</t>
        </is>
      </c>
      <c r="E183" s="13" t="n">
        <v>13141.85</v>
      </c>
      <c r="F183" s="13" t="n">
        <v>20.09</v>
      </c>
      <c r="G183" s="13" t="n">
        <v>13397.48</v>
      </c>
      <c r="H183" s="13" t="n">
        <v>13397.48</v>
      </c>
      <c r="I183" s="13" t="n">
        <v>27.042</v>
      </c>
      <c r="J183" s="13" t="n">
        <v>20.09</v>
      </c>
      <c r="K183" s="20" t="n">
        <v>66</v>
      </c>
      <c r="L183" s="20" t="n">
        <v>0</v>
      </c>
      <c r="M183" s="20" t="n">
        <v>0</v>
      </c>
      <c r="N183" s="13" t="n">
        <v>13397.48</v>
      </c>
      <c r="O183" s="13" t="n">
        <v>386602.52</v>
      </c>
      <c r="P183" s="13" t="n">
        <v>255.63</v>
      </c>
    </row>
    <row r="184" ht="18" customHeight="1">
      <c r="A184" s="4" t="inlineStr"/>
      <c r="B184" s="4" t="inlineStr"/>
      <c r="C184" s="6" t="inlineStr"/>
      <c r="D184" s="7" t="inlineStr">
        <is>
          <t>TK189</t>
        </is>
      </c>
      <c r="E184" s="8" t="n">
        <v>11994</v>
      </c>
      <c r="F184" s="9" t="n">
        <v>20.8</v>
      </c>
      <c r="G184" s="9" t="n">
        <v>12788.41</v>
      </c>
      <c r="H184" s="9" t="n">
        <v>12788.41</v>
      </c>
      <c r="I184" s="9" t="n">
        <v>25.979</v>
      </c>
      <c r="J184" s="9" t="n">
        <v>20.8</v>
      </c>
      <c r="K184" s="9" t="n">
        <v>67.40000000000001</v>
      </c>
      <c r="L184" s="8" t="n">
        <v>0</v>
      </c>
      <c r="M184" s="8" t="n">
        <v>0</v>
      </c>
      <c r="N184" s="9" t="n">
        <v>12788.41</v>
      </c>
      <c r="O184" s="9" t="n">
        <v>387211.59</v>
      </c>
      <c r="P184" s="9" t="n">
        <v>794.41</v>
      </c>
    </row>
    <row r="185" ht="18" customHeight="1">
      <c r="A185" s="10" t="inlineStr"/>
      <c r="B185" s="10" t="inlineStr"/>
      <c r="C185" s="11" t="inlineStr"/>
      <c r="D185" s="12" t="inlineStr">
        <is>
          <t>TK190</t>
        </is>
      </c>
      <c r="E185" s="13" t="n">
        <v>18828.7</v>
      </c>
      <c r="F185" s="20" t="n">
        <v>20</v>
      </c>
      <c r="G185" s="13" t="n">
        <v>20606.7</v>
      </c>
      <c r="H185" s="13" t="n">
        <v>20606.7</v>
      </c>
      <c r="I185" s="13" t="n">
        <v>23.333</v>
      </c>
      <c r="J185" s="20" t="n">
        <v>20</v>
      </c>
      <c r="K185" s="13" t="n">
        <v>80.59999999999999</v>
      </c>
      <c r="L185" s="20" t="n">
        <v>0</v>
      </c>
      <c r="M185" s="20" t="n">
        <v>0</v>
      </c>
      <c r="N185" s="13" t="n">
        <v>20606.7</v>
      </c>
      <c r="O185" s="13" t="n">
        <v>379393.3</v>
      </c>
      <c r="P185" s="20" t="n">
        <v>1778</v>
      </c>
    </row>
    <row r="186" ht="18" customHeight="1">
      <c r="A186" s="4" t="inlineStr"/>
      <c r="B186" s="4" t="inlineStr"/>
      <c r="C186" s="6" t="inlineStr"/>
      <c r="D186" s="7" t="inlineStr">
        <is>
          <t>TK194</t>
        </is>
      </c>
      <c r="E186" s="9" t="n">
        <v>429.57</v>
      </c>
      <c r="F186" s="8" t="n">
        <v>60</v>
      </c>
      <c r="G186" s="9" t="n">
        <v>185.68</v>
      </c>
      <c r="H186" s="9" t="n">
        <v>185.68</v>
      </c>
      <c r="I186" s="9" t="n">
        <v>4.135</v>
      </c>
      <c r="J186" s="8" t="n">
        <v>60</v>
      </c>
      <c r="K186" s="8" t="n">
        <v>70</v>
      </c>
      <c r="L186" s="8" t="n">
        <v>0</v>
      </c>
      <c r="M186" s="8" t="n">
        <v>0</v>
      </c>
      <c r="N186" s="9" t="n">
        <v>185.68</v>
      </c>
      <c r="O186" s="9" t="n">
        <v>399814.32</v>
      </c>
      <c r="P186" s="9" t="n">
        <v>-243.89</v>
      </c>
    </row>
    <row r="187" ht="18" customHeight="1">
      <c r="A187" s="10" t="inlineStr"/>
      <c r="B187" s="10" t="inlineStr"/>
      <c r="C187" s="11" t="inlineStr"/>
      <c r="D187" s="12" t="inlineStr">
        <is>
          <t>TK284</t>
        </is>
      </c>
      <c r="E187" s="13" t="n">
        <v>4519.64</v>
      </c>
      <c r="F187" s="13" t="n">
        <v>41.1</v>
      </c>
      <c r="G187" s="13" t="n">
        <v>4657.6</v>
      </c>
      <c r="H187" s="13" t="n">
        <v>4657.6</v>
      </c>
      <c r="I187" s="13" t="n">
        <v>20.938</v>
      </c>
      <c r="J187" s="13" t="n">
        <v>41.1</v>
      </c>
      <c r="K187" s="13" t="n">
        <v>60.6</v>
      </c>
      <c r="L187" s="20" t="n">
        <v>0</v>
      </c>
      <c r="M187" s="20" t="n">
        <v>0</v>
      </c>
      <c r="N187" s="13" t="n">
        <v>4657.6</v>
      </c>
      <c r="O187" s="13" t="n">
        <v>395342.4</v>
      </c>
      <c r="P187" s="13" t="n">
        <v>137.96</v>
      </c>
    </row>
    <row r="188" ht="18" customHeight="1">
      <c r="A188" s="4" t="inlineStr"/>
      <c r="B188" s="4" t="inlineStr"/>
      <c r="C188" s="6" t="inlineStr"/>
      <c r="D188" s="7" t="inlineStr">
        <is>
          <t>TK426</t>
        </is>
      </c>
      <c r="E188" s="9" t="n">
        <v>11748.09</v>
      </c>
      <c r="F188" s="8" t="n">
        <v>33</v>
      </c>
      <c r="G188" s="9" t="n">
        <v>12671.32</v>
      </c>
      <c r="H188" s="9" t="n">
        <v>12671.32</v>
      </c>
      <c r="I188" s="9" t="n">
        <v>25.082</v>
      </c>
      <c r="J188" s="8" t="n">
        <v>33</v>
      </c>
      <c r="K188" s="8" t="n">
        <v>94</v>
      </c>
      <c r="L188" s="8" t="n">
        <v>0</v>
      </c>
      <c r="M188" s="8" t="n">
        <v>0</v>
      </c>
      <c r="N188" s="9" t="n">
        <v>12671.32</v>
      </c>
      <c r="O188" s="9" t="n">
        <v>387328.68</v>
      </c>
      <c r="P188" s="9" t="n">
        <v>923.23</v>
      </c>
    </row>
    <row r="189" ht="18" customHeight="1">
      <c r="A189" s="10" t="inlineStr"/>
      <c r="B189" s="10" t="inlineStr"/>
      <c r="C189" s="11" t="inlineStr"/>
      <c r="D189" s="12" t="inlineStr">
        <is>
          <t>TK614</t>
        </is>
      </c>
      <c r="E189" s="13" t="n">
        <v>445.672</v>
      </c>
      <c r="F189" s="20" t="n">
        <v>25</v>
      </c>
      <c r="G189" s="13" t="n">
        <v>445.622</v>
      </c>
      <c r="H189" s="13" t="n">
        <v>445.622</v>
      </c>
      <c r="I189" s="20" t="n">
        <v>0</v>
      </c>
      <c r="J189" s="20" t="n">
        <v>25</v>
      </c>
      <c r="K189" s="20" t="n">
        <v>60</v>
      </c>
      <c r="L189" s="20" t="n">
        <v>0</v>
      </c>
      <c r="M189" s="20" t="n">
        <v>0</v>
      </c>
      <c r="N189" s="13" t="n">
        <v>445.622</v>
      </c>
      <c r="O189" s="13" t="n">
        <v>399554.378</v>
      </c>
      <c r="P189" s="13" t="n">
        <v>-0.05</v>
      </c>
    </row>
    <row r="190" ht="18" customHeight="1">
      <c r="A190" s="4" t="inlineStr"/>
      <c r="B190" s="4" t="inlineStr"/>
      <c r="C190" s="6" t="inlineStr"/>
      <c r="D190" s="7" t="inlineStr">
        <is>
          <t>TK700</t>
        </is>
      </c>
      <c r="E190" s="9" t="n">
        <v>11883.59</v>
      </c>
      <c r="F190" s="9" t="n">
        <v>36.65</v>
      </c>
      <c r="G190" s="9" t="n">
        <v>12742.89</v>
      </c>
      <c r="H190" s="9" t="n">
        <v>12742.89</v>
      </c>
      <c r="I190" s="9" t="n">
        <v>25.224</v>
      </c>
      <c r="J190" s="9" t="n">
        <v>36.65</v>
      </c>
      <c r="K190" s="8" t="n">
        <v>90</v>
      </c>
      <c r="L190" s="8" t="n">
        <v>0</v>
      </c>
      <c r="M190" s="8" t="n">
        <v>0</v>
      </c>
      <c r="N190" s="9" t="n">
        <v>12742.89</v>
      </c>
      <c r="O190" s="9" t="n">
        <v>387257.11</v>
      </c>
      <c r="P190" s="9" t="n">
        <v>859.3</v>
      </c>
    </row>
    <row r="191" ht="18" customHeight="1">
      <c r="A191" s="10" t="inlineStr"/>
      <c r="B191" s="10" t="inlineStr"/>
      <c r="C191" s="11" t="inlineStr"/>
      <c r="D191" s="12" t="inlineStr">
        <is>
          <t>TK777</t>
        </is>
      </c>
      <c r="E191" s="13" t="n">
        <v>568.587</v>
      </c>
      <c r="F191" s="20" t="n">
        <v>18</v>
      </c>
      <c r="G191" s="13" t="n">
        <v>567.3630000000001</v>
      </c>
      <c r="H191" s="13" t="n">
        <v>567.3630000000001</v>
      </c>
      <c r="I191" s="20" t="n">
        <v>0</v>
      </c>
      <c r="J191" s="20" t="n">
        <v>18</v>
      </c>
      <c r="K191" s="13" t="n">
        <v>61.229</v>
      </c>
      <c r="L191" s="20" t="n">
        <v>0</v>
      </c>
      <c r="M191" s="20" t="n">
        <v>0</v>
      </c>
      <c r="N191" s="13" t="n">
        <v>567.3630000000001</v>
      </c>
      <c r="O191" s="13" t="n">
        <v>399432.637</v>
      </c>
      <c r="P191" s="13" t="n">
        <v>-1.224</v>
      </c>
    </row>
    <row r="192" ht="18" customHeight="1">
      <c r="A192" s="4" t="inlineStr"/>
      <c r="B192" s="4" t="inlineStr"/>
      <c r="C192" s="6" t="inlineStr"/>
      <c r="D192" s="7" t="inlineStr">
        <is>
          <t>TK778</t>
        </is>
      </c>
      <c r="E192" s="9" t="n">
        <v>577.182</v>
      </c>
      <c r="F192" s="8" t="n">
        <v>18</v>
      </c>
      <c r="G192" s="9" t="n">
        <v>579.6849999999999</v>
      </c>
      <c r="H192" s="9" t="n">
        <v>579.6849999999999</v>
      </c>
      <c r="I192" s="8" t="n">
        <v>0</v>
      </c>
      <c r="J192" s="8" t="n">
        <v>18</v>
      </c>
      <c r="K192" s="9" t="n">
        <v>61.301</v>
      </c>
      <c r="L192" s="8" t="n">
        <v>0</v>
      </c>
      <c r="M192" s="8" t="n">
        <v>0</v>
      </c>
      <c r="N192" s="9" t="n">
        <v>579.6849999999999</v>
      </c>
      <c r="O192" s="9" t="n">
        <v>399420.315</v>
      </c>
      <c r="P192" s="9" t="n">
        <v>2.503</v>
      </c>
    </row>
    <row r="193" ht="20" customHeight="1">
      <c r="A193" s="14" t="inlineStr"/>
      <c r="B193" s="15" t="inlineStr">
        <is>
          <t>Acc_SlopOil</t>
        </is>
      </c>
      <c r="C193" s="16" t="inlineStr">
        <is>
          <t>Slop Oil</t>
        </is>
      </c>
      <c r="D193" s="17" t="inlineStr">
        <is>
          <t>Total</t>
        </is>
      </c>
      <c r="E193" s="18">
        <f>E176+E177+E178+E179+E180+E181+E182+E183+E184+E185+E186+E187+E188+E189+E190+E191+E192</f>
        <v/>
      </c>
      <c r="F193" s="18">
        <f>AVERAGE(F176,F177,F178,F179,F180,F181,F182,F183,F184,F185,F186,F187,F188,F189,F190,F191,F192)</f>
        <v/>
      </c>
      <c r="G193" s="18">
        <f>G176+G177+G178+G179+G180+G181+G182+G183+G184+G185+G186+G187+G188+G189+G190+G191+G192</f>
        <v/>
      </c>
      <c r="H193" s="18">
        <f>H176+H177+H178+H179+H180+H181+H182+H183+H184+H185+H186+H187+H188+H189+H190+H191+H192</f>
        <v/>
      </c>
      <c r="I193" s="19" t="inlineStr"/>
      <c r="J193" s="18">
        <f>AVERAGE(J176,J177,J178,J179,J180,J181,J182,J183,J184,J185,J186,J187,J188,J189,J190,J191,J192)</f>
        <v/>
      </c>
      <c r="K193" s="19" t="inlineStr"/>
      <c r="L193" s="18">
        <f>L176+L177+L178+L179+L180+L181+L182+L183+L184+L185+L186+L187+L188+L189+L190+L191+L192</f>
        <v/>
      </c>
      <c r="M193" s="19" t="inlineStr"/>
      <c r="N193" s="18">
        <f>N176+N177+N178+N179+N180+N181+N182+N183+N184+N185+N186+N187+N188+N189+N190+N191+N192</f>
        <v/>
      </c>
      <c r="O193" s="18">
        <f>O176+O177+O178+O179+O180+O181+O182+O183+O184+O185+O186+O187+O188+O189+O190+O191+O192</f>
        <v/>
      </c>
      <c r="P193" s="18">
        <f>P176+P177+P178+P179+P180+P181+P182+P183+P184+P185+P186+P187+P188+P189+P190+P191+P192</f>
        <v/>
      </c>
    </row>
    <row r="194" ht="20" customHeight="1">
      <c r="A194" s="3" t="inlineStr">
        <is>
          <t>38.  Acc_SourNaph  —  Sour Naphtha</t>
        </is>
      </c>
    </row>
    <row r="195" ht="18" customHeight="1">
      <c r="A195" s="4" t="inlineStr"/>
      <c r="B195" s="5" t="inlineStr">
        <is>
          <t>Acc_SourNaph</t>
        </is>
      </c>
      <c r="C195" s="6" t="inlineStr">
        <is>
          <t>Sour Naphtha</t>
        </is>
      </c>
      <c r="D195" s="7" t="inlineStr">
        <is>
          <t>TK681</t>
        </is>
      </c>
      <c r="E195" s="9" t="n">
        <v>4149.689</v>
      </c>
      <c r="F195" s="8" t="n">
        <v>65</v>
      </c>
      <c r="G195" s="9" t="n">
        <v>3728.763</v>
      </c>
      <c r="H195" s="9" t="n">
        <v>3743.7</v>
      </c>
      <c r="I195" s="9" t="n">
        <v>14.896</v>
      </c>
      <c r="J195" s="8" t="n">
        <v>65</v>
      </c>
      <c r="K195" s="9" t="n">
        <v>65.59999999999999</v>
      </c>
      <c r="L195" s="8" t="n">
        <v>0</v>
      </c>
      <c r="M195" s="8" t="n">
        <v>0</v>
      </c>
      <c r="N195" s="9" t="n">
        <v>3728.763</v>
      </c>
      <c r="O195" s="9" t="n">
        <v>396271.237</v>
      </c>
      <c r="P195" s="9" t="n">
        <v>-420.927</v>
      </c>
    </row>
    <row r="196" ht="18" customHeight="1">
      <c r="A196" s="10" t="inlineStr"/>
      <c r="B196" s="10" t="inlineStr"/>
      <c r="C196" s="11" t="inlineStr"/>
      <c r="D196" s="12" t="inlineStr">
        <is>
          <t>TK90</t>
        </is>
      </c>
      <c r="E196" s="13" t="n">
        <v>16173.78</v>
      </c>
      <c r="F196" s="13" t="n">
        <v>56.53</v>
      </c>
      <c r="G196" s="13" t="n">
        <v>16793.91</v>
      </c>
      <c r="H196" s="13" t="n">
        <v>16793.91</v>
      </c>
      <c r="I196" s="13" t="n">
        <v>8.781000000000001</v>
      </c>
      <c r="J196" s="13" t="n">
        <v>56.53</v>
      </c>
      <c r="K196" s="20" t="n">
        <v>60</v>
      </c>
      <c r="L196" s="20" t="n">
        <v>0</v>
      </c>
      <c r="M196" s="20" t="n">
        <v>0</v>
      </c>
      <c r="N196" s="13" t="n">
        <v>16793.91</v>
      </c>
      <c r="O196" s="13" t="n">
        <v>383206.09</v>
      </c>
      <c r="P196" s="13" t="n">
        <v>620.13</v>
      </c>
    </row>
    <row r="197" ht="18" customHeight="1">
      <c r="A197" s="4" t="inlineStr"/>
      <c r="B197" s="4" t="inlineStr"/>
      <c r="C197" s="6" t="inlineStr"/>
      <c r="D197" s="7" t="inlineStr">
        <is>
          <t>TK91</t>
        </is>
      </c>
      <c r="E197" s="9" t="n">
        <v>14118.8</v>
      </c>
      <c r="F197" s="9" t="n">
        <v>53.76</v>
      </c>
      <c r="G197" s="9" t="n">
        <v>14701.377</v>
      </c>
      <c r="H197" s="9" t="n">
        <v>14722.43</v>
      </c>
      <c r="I197" s="9" t="n">
        <v>8.188000000000001</v>
      </c>
      <c r="J197" s="9" t="n">
        <v>53.76</v>
      </c>
      <c r="K197" s="9" t="n">
        <v>62.2</v>
      </c>
      <c r="L197" s="8" t="n">
        <v>0</v>
      </c>
      <c r="M197" s="8" t="n">
        <v>0</v>
      </c>
      <c r="N197" s="9" t="n">
        <v>14701.377</v>
      </c>
      <c r="O197" s="9" t="n">
        <v>385298.623</v>
      </c>
      <c r="P197" s="9" t="n">
        <v>582.577</v>
      </c>
    </row>
    <row r="198" ht="18" customHeight="1">
      <c r="A198" s="10" t="inlineStr"/>
      <c r="B198" s="10" t="inlineStr"/>
      <c r="C198" s="11" t="inlineStr"/>
      <c r="D198" s="12" t="inlineStr">
        <is>
          <t>TK969</t>
        </is>
      </c>
      <c r="E198" s="13" t="n">
        <v>33942.784</v>
      </c>
      <c r="F198" s="20" t="n">
        <v>67</v>
      </c>
      <c r="G198" s="13" t="n">
        <v>33438.817</v>
      </c>
      <c r="H198" s="13" t="n">
        <v>33805.95</v>
      </c>
      <c r="I198" s="13" t="n">
        <v>11.75</v>
      </c>
      <c r="J198" s="20" t="n">
        <v>67</v>
      </c>
      <c r="K198" s="20" t="n">
        <v>75</v>
      </c>
      <c r="L198" s="13" t="n">
        <v>2870.24</v>
      </c>
      <c r="M198" s="20" t="n">
        <v>1</v>
      </c>
      <c r="N198" s="13" t="n">
        <v>33438.817</v>
      </c>
      <c r="O198" s="13" t="n">
        <v>366561.183</v>
      </c>
      <c r="P198" s="13" t="n">
        <v>-503.967</v>
      </c>
    </row>
    <row r="199" ht="20" customHeight="1">
      <c r="A199" s="14" t="inlineStr"/>
      <c r="B199" s="15" t="inlineStr">
        <is>
          <t>Acc_SourNaph</t>
        </is>
      </c>
      <c r="C199" s="16" t="inlineStr">
        <is>
          <t>Sour Naphtha</t>
        </is>
      </c>
      <c r="D199" s="17" t="inlineStr">
        <is>
          <t>Total</t>
        </is>
      </c>
      <c r="E199" s="18">
        <f>E195+E196+E197+E198</f>
        <v/>
      </c>
      <c r="F199" s="18">
        <f>AVERAGE(F195,F196,F197,F198)</f>
        <v/>
      </c>
      <c r="G199" s="18">
        <f>G195+G196+G197+G198</f>
        <v/>
      </c>
      <c r="H199" s="18">
        <f>H195+H196+H197+H198</f>
        <v/>
      </c>
      <c r="I199" s="19" t="inlineStr"/>
      <c r="J199" s="18">
        <f>AVERAGE(J195,J196,J197,J198)</f>
        <v/>
      </c>
      <c r="K199" s="19" t="inlineStr"/>
      <c r="L199" s="18">
        <f>L195+L196+L197+L198</f>
        <v/>
      </c>
      <c r="M199" s="19" t="inlineStr"/>
      <c r="N199" s="18">
        <f>N195+N196+N197+N198</f>
        <v/>
      </c>
      <c r="O199" s="18">
        <f>O195+O196+O197+O198</f>
        <v/>
      </c>
      <c r="P199" s="18">
        <f>P195+P196+P197+P198</f>
        <v/>
      </c>
    </row>
    <row r="200" ht="20" customHeight="1">
      <c r="A200" s="3" t="inlineStr">
        <is>
          <t>39.  Acc_SRNaphtha  —  Straight Run Naphtha</t>
        </is>
      </c>
    </row>
    <row r="201" ht="18" customHeight="1">
      <c r="A201" s="4" t="inlineStr"/>
      <c r="B201" s="5" t="inlineStr">
        <is>
          <t>Acc_SRNaphtha</t>
        </is>
      </c>
      <c r="C201" s="6" t="inlineStr">
        <is>
          <t>Straight Run Naphtha</t>
        </is>
      </c>
      <c r="D201" s="7" t="inlineStr">
        <is>
          <t>TK74</t>
        </is>
      </c>
      <c r="E201" s="9" t="n">
        <v>5770.755</v>
      </c>
      <c r="F201" s="9" t="n">
        <v>67.40000000000001</v>
      </c>
      <c r="G201" s="9" t="n">
        <v>8721.087</v>
      </c>
      <c r="H201" s="9" t="n">
        <v>8773.200000000001</v>
      </c>
      <c r="I201" s="9" t="n">
        <v>20.34</v>
      </c>
      <c r="J201" s="9" t="n">
        <v>67.40000000000001</v>
      </c>
      <c r="K201" s="9" t="n">
        <v>68.18899999999999</v>
      </c>
      <c r="L201" s="8" t="n">
        <v>0</v>
      </c>
      <c r="M201" s="8" t="n">
        <v>0</v>
      </c>
      <c r="N201" s="9" t="n">
        <v>8721.087</v>
      </c>
      <c r="O201" s="9" t="n">
        <v>391278.913</v>
      </c>
      <c r="P201" s="9" t="n">
        <v>2950.332</v>
      </c>
    </row>
    <row r="202" ht="18" customHeight="1">
      <c r="A202" s="10" t="inlineStr"/>
      <c r="B202" s="10" t="inlineStr"/>
      <c r="C202" s="11" t="inlineStr"/>
      <c r="D202" s="12" t="inlineStr">
        <is>
          <t>TK75</t>
        </is>
      </c>
      <c r="E202" s="13" t="n">
        <v>2396.615</v>
      </c>
      <c r="F202" s="20" t="n">
        <v>63</v>
      </c>
      <c r="G202" s="13" t="n">
        <v>2398.602</v>
      </c>
      <c r="H202" s="13" t="n">
        <v>2394.34</v>
      </c>
      <c r="I202" s="13" t="n">
        <v>7.066</v>
      </c>
      <c r="J202" s="20" t="n">
        <v>63</v>
      </c>
      <c r="K202" s="13" t="n">
        <v>57.459</v>
      </c>
      <c r="L202" s="20" t="n">
        <v>0</v>
      </c>
      <c r="M202" s="20" t="n">
        <v>0</v>
      </c>
      <c r="N202" s="13" t="n">
        <v>2398.602</v>
      </c>
      <c r="O202" s="13" t="n">
        <v>397601.398</v>
      </c>
      <c r="P202" s="13" t="n">
        <v>1.987</v>
      </c>
    </row>
    <row r="203" ht="18" customHeight="1">
      <c r="A203" s="4" t="inlineStr"/>
      <c r="B203" s="4" t="inlineStr"/>
      <c r="C203" s="6" t="inlineStr"/>
      <c r="D203" s="7" t="inlineStr">
        <is>
          <t>TK955</t>
        </is>
      </c>
      <c r="E203" s="9" t="n">
        <v>605.314</v>
      </c>
      <c r="F203" s="8" t="n">
        <v>67</v>
      </c>
      <c r="G203" s="9" t="n">
        <v>605.833</v>
      </c>
      <c r="H203" s="9" t="n">
        <v>603.485</v>
      </c>
      <c r="I203" s="8" t="n">
        <v>0</v>
      </c>
      <c r="J203" s="8" t="n">
        <v>67</v>
      </c>
      <c r="K203" s="9" t="n">
        <v>54.6</v>
      </c>
      <c r="L203" s="8" t="n">
        <v>0</v>
      </c>
      <c r="M203" s="8" t="n">
        <v>0</v>
      </c>
      <c r="N203" s="9" t="n">
        <v>605.833</v>
      </c>
      <c r="O203" s="9" t="n">
        <v>399394.167</v>
      </c>
      <c r="P203" s="9" t="n">
        <v>0.519</v>
      </c>
    </row>
    <row r="204" ht="20" customHeight="1">
      <c r="A204" s="14" t="inlineStr"/>
      <c r="B204" s="15" t="inlineStr">
        <is>
          <t>Acc_SRNaphtha</t>
        </is>
      </c>
      <c r="C204" s="16" t="inlineStr">
        <is>
          <t>Straight Run Naphtha</t>
        </is>
      </c>
      <c r="D204" s="17" t="inlineStr">
        <is>
          <t>Total</t>
        </is>
      </c>
      <c r="E204" s="18">
        <f>E201+E202+E203</f>
        <v/>
      </c>
      <c r="F204" s="18">
        <f>AVERAGE(F201,F202,F203)</f>
        <v/>
      </c>
      <c r="G204" s="18">
        <f>G201+G202+G203</f>
        <v/>
      </c>
      <c r="H204" s="18">
        <f>H201+H202+H203</f>
        <v/>
      </c>
      <c r="I204" s="19" t="inlineStr"/>
      <c r="J204" s="18">
        <f>AVERAGE(J201,J202,J203)</f>
        <v/>
      </c>
      <c r="K204" s="19" t="inlineStr"/>
      <c r="L204" s="18">
        <f>L201+L202+L203</f>
        <v/>
      </c>
      <c r="M204" s="19" t="inlineStr"/>
      <c r="N204" s="18">
        <f>N201+N202+N203</f>
        <v/>
      </c>
      <c r="O204" s="18">
        <f>O201+O202+O203</f>
        <v/>
      </c>
      <c r="P204" s="18">
        <f>P201+P202+P203</f>
        <v/>
      </c>
    </row>
    <row r="205" ht="20" customHeight="1">
      <c r="A205" s="3" t="inlineStr">
        <is>
          <t>40.  Acc_SweetNaph  —  Sweet Naphtha</t>
        </is>
      </c>
    </row>
    <row r="206" ht="18" customHeight="1">
      <c r="A206" s="4" t="inlineStr"/>
      <c r="B206" s="5" t="inlineStr">
        <is>
          <t>Acc_SweetNaph</t>
        </is>
      </c>
      <c r="C206" s="6" t="inlineStr">
        <is>
          <t>Sweet Naphtha</t>
        </is>
      </c>
      <c r="D206" s="7" t="inlineStr">
        <is>
          <t>TK67</t>
        </is>
      </c>
      <c r="E206" s="9" t="n">
        <v>64105.179</v>
      </c>
      <c r="F206" s="9" t="n">
        <v>50.4</v>
      </c>
      <c r="G206" s="9" t="n">
        <v>57067.103</v>
      </c>
      <c r="H206" s="9" t="n">
        <v>57368.863</v>
      </c>
      <c r="I206" s="8" t="n">
        <v>0</v>
      </c>
      <c r="J206" s="9" t="n">
        <v>50.4</v>
      </c>
      <c r="K206" s="9" t="n">
        <v>68.8</v>
      </c>
      <c r="L206" s="8" t="n">
        <v>0</v>
      </c>
      <c r="M206" s="8" t="n">
        <v>0</v>
      </c>
      <c r="N206" s="9" t="n">
        <v>57067.103</v>
      </c>
      <c r="O206" s="9" t="n">
        <v>342932.897</v>
      </c>
      <c r="P206" s="9" t="n">
        <v>-7038.076</v>
      </c>
    </row>
    <row r="207" ht="20" customHeight="1">
      <c r="A207" s="14" t="inlineStr"/>
      <c r="B207" s="15" t="inlineStr">
        <is>
          <t>Acc_SweetNaph</t>
        </is>
      </c>
      <c r="C207" s="16" t="inlineStr">
        <is>
          <t>Sweet Naphtha</t>
        </is>
      </c>
      <c r="D207" s="17" t="inlineStr">
        <is>
          <t>Total</t>
        </is>
      </c>
      <c r="E207" s="18">
        <f>E206</f>
        <v/>
      </c>
      <c r="F207" s="18">
        <f>AVERAGE(F206)</f>
        <v/>
      </c>
      <c r="G207" s="18">
        <f>G206</f>
        <v/>
      </c>
      <c r="H207" s="18">
        <f>H206</f>
        <v/>
      </c>
      <c r="I207" s="19" t="inlineStr"/>
      <c r="J207" s="18">
        <f>AVERAGE(J206)</f>
        <v/>
      </c>
      <c r="K207" s="19" t="inlineStr"/>
      <c r="L207" s="18">
        <f>L206</f>
        <v/>
      </c>
      <c r="M207" s="19" t="inlineStr"/>
      <c r="N207" s="18">
        <f>N206</f>
        <v/>
      </c>
      <c r="O207" s="18">
        <f>O206</f>
        <v/>
      </c>
      <c r="P207" s="18">
        <f>P206</f>
        <v/>
      </c>
    </row>
    <row r="208" ht="20" customHeight="1">
      <c r="A208" s="3" t="inlineStr">
        <is>
          <t>41.  Acc_Transmix  —  Transmix</t>
        </is>
      </c>
    </row>
    <row r="209" ht="18" customHeight="1">
      <c r="A209" s="4" t="inlineStr"/>
      <c r="B209" s="5" t="inlineStr">
        <is>
          <t>Acc_Transmix</t>
        </is>
      </c>
      <c r="C209" s="6" t="inlineStr">
        <is>
          <t>Transmix</t>
        </is>
      </c>
      <c r="D209" s="7" t="inlineStr">
        <is>
          <t>TK191</t>
        </is>
      </c>
      <c r="E209" s="9" t="n">
        <v>7157.779</v>
      </c>
      <c r="F209" s="9" t="n">
        <v>46.48</v>
      </c>
      <c r="G209" s="9" t="n">
        <v>15571.106</v>
      </c>
      <c r="H209" s="9" t="n">
        <v>15635.053</v>
      </c>
      <c r="I209" s="8" t="n">
        <v>0</v>
      </c>
      <c r="J209" s="9" t="n">
        <v>46.48</v>
      </c>
      <c r="K209" s="9" t="n">
        <v>67.8</v>
      </c>
      <c r="L209" s="8" t="n">
        <v>321</v>
      </c>
      <c r="M209" s="8" t="n">
        <v>0</v>
      </c>
      <c r="N209" s="9" t="n">
        <v>15571.106</v>
      </c>
      <c r="O209" s="9" t="n">
        <v>384428.894</v>
      </c>
      <c r="P209" s="9" t="n">
        <v>8413.326999999999</v>
      </c>
    </row>
    <row r="210" ht="18" customHeight="1">
      <c r="A210" s="10" t="inlineStr"/>
      <c r="B210" s="10" t="inlineStr"/>
      <c r="C210" s="11" t="inlineStr"/>
      <c r="D210" s="12" t="inlineStr">
        <is>
          <t>TK192</t>
        </is>
      </c>
      <c r="E210" s="13" t="n">
        <v>7211.601</v>
      </c>
      <c r="F210" s="13" t="n">
        <v>28.34</v>
      </c>
      <c r="G210" s="13" t="n">
        <v>15660.959</v>
      </c>
      <c r="H210" s="13" t="n">
        <v>15677.42</v>
      </c>
      <c r="I210" s="13" t="n">
        <v>31.521</v>
      </c>
      <c r="J210" s="13" t="n">
        <v>28.34</v>
      </c>
      <c r="K210" s="13" t="n">
        <v>62.4</v>
      </c>
      <c r="L210" s="13" t="n">
        <v>104.168</v>
      </c>
      <c r="M210" s="13" t="n">
        <v>0.417</v>
      </c>
      <c r="N210" s="13" t="n">
        <v>15660.959</v>
      </c>
      <c r="O210" s="13" t="n">
        <v>384339.041</v>
      </c>
      <c r="P210" s="13" t="n">
        <v>8449.358</v>
      </c>
    </row>
    <row r="211" ht="18" customHeight="1">
      <c r="A211" s="4" t="inlineStr"/>
      <c r="B211" s="4" t="inlineStr"/>
      <c r="C211" s="6" t="inlineStr"/>
      <c r="D211" s="7" t="inlineStr">
        <is>
          <t>TK29</t>
        </is>
      </c>
      <c r="E211" s="9" t="n">
        <v>9868.459999999999</v>
      </c>
      <c r="F211" s="9" t="n">
        <v>53.56</v>
      </c>
      <c r="G211" s="9" t="n">
        <v>9874.780000000001</v>
      </c>
      <c r="H211" s="9" t="n">
        <v>9885.059999999999</v>
      </c>
      <c r="I211" s="9" t="n">
        <v>20.375</v>
      </c>
      <c r="J211" s="9" t="n">
        <v>53.56</v>
      </c>
      <c r="K211" s="9" t="n">
        <v>61.6</v>
      </c>
      <c r="L211" s="9" t="n">
        <v>21.948</v>
      </c>
      <c r="M211" s="9" t="n">
        <v>0.083</v>
      </c>
      <c r="N211" s="9" t="n">
        <v>9874.780000000001</v>
      </c>
      <c r="O211" s="9" t="n">
        <v>390125.22</v>
      </c>
      <c r="P211" s="9" t="n">
        <v>6.319</v>
      </c>
    </row>
    <row r="212" ht="18" customHeight="1">
      <c r="A212" s="10" t="inlineStr"/>
      <c r="B212" s="10" t="inlineStr"/>
      <c r="C212" s="11" t="inlineStr"/>
      <c r="D212" s="12" t="inlineStr">
        <is>
          <t>TK30</t>
        </is>
      </c>
      <c r="E212" s="13" t="n">
        <v>9636.575999999999</v>
      </c>
      <c r="F212" s="13" t="n">
        <v>51.55</v>
      </c>
      <c r="G212" s="13" t="n">
        <v>9636.575999999999</v>
      </c>
      <c r="H212" s="13" t="n">
        <v>9734.799999999999</v>
      </c>
      <c r="I212" s="13" t="n">
        <v>20.688</v>
      </c>
      <c r="J212" s="13" t="n">
        <v>51.55</v>
      </c>
      <c r="K212" s="20" t="n">
        <v>76</v>
      </c>
      <c r="L212" s="13" t="n">
        <v>387.653</v>
      </c>
      <c r="M212" s="13" t="n">
        <v>0.833</v>
      </c>
      <c r="N212" s="13" t="n">
        <v>9636.575999999999</v>
      </c>
      <c r="O212" s="13" t="n">
        <v>390363.424</v>
      </c>
      <c r="P212" s="20" t="n">
        <v>0</v>
      </c>
    </row>
    <row r="213" ht="20" customHeight="1">
      <c r="A213" s="14" t="inlineStr"/>
      <c r="B213" s="15" t="inlineStr">
        <is>
          <t>Acc_Transmix</t>
        </is>
      </c>
      <c r="C213" s="16" t="inlineStr">
        <is>
          <t>Transmix</t>
        </is>
      </c>
      <c r="D213" s="17" t="inlineStr">
        <is>
          <t>Total</t>
        </is>
      </c>
      <c r="E213" s="18">
        <f>E209+E210+E211+E212</f>
        <v/>
      </c>
      <c r="F213" s="18">
        <f>AVERAGE(F209,F210,F211,F212)</f>
        <v/>
      </c>
      <c r="G213" s="18">
        <f>G209+G210+G211+G212</f>
        <v/>
      </c>
      <c r="H213" s="18">
        <f>H209+H210+H211+H212</f>
        <v/>
      </c>
      <c r="I213" s="19" t="inlineStr"/>
      <c r="J213" s="18">
        <f>AVERAGE(J209,J210,J211,J212)</f>
        <v/>
      </c>
      <c r="K213" s="19" t="inlineStr"/>
      <c r="L213" s="18">
        <f>L209+L210+L211+L212</f>
        <v/>
      </c>
      <c r="M213" s="19" t="inlineStr"/>
      <c r="N213" s="18">
        <f>N209+N210+N211+N212</f>
        <v/>
      </c>
      <c r="O213" s="18">
        <f>O209+O210+O211+O212</f>
        <v/>
      </c>
      <c r="P213" s="18">
        <f>P209+P210+P211+P212</f>
        <v/>
      </c>
    </row>
    <row r="214" ht="20" customHeight="1">
      <c r="A214" s="3" t="inlineStr">
        <is>
          <t>42.  Acc_ULSD2  —  ULSD No 2</t>
        </is>
      </c>
    </row>
    <row r="215" ht="18" customHeight="1">
      <c r="A215" s="4" t="inlineStr"/>
      <c r="B215" s="5" t="inlineStr">
        <is>
          <t>Acc_ULSD2</t>
        </is>
      </c>
      <c r="C215" s="6" t="inlineStr">
        <is>
          <t>ULSD No 2</t>
        </is>
      </c>
      <c r="D215" s="7" t="inlineStr">
        <is>
          <t>LF_003</t>
        </is>
      </c>
      <c r="E215" s="8" t="n">
        <v>26000</v>
      </c>
      <c r="F215" s="8" t="n">
        <v>37</v>
      </c>
      <c r="G215" s="8" t="n">
        <v>26000</v>
      </c>
      <c r="H215" s="8" t="n">
        <v>26000</v>
      </c>
      <c r="I215" s="8" t="n">
        <v>0</v>
      </c>
      <c r="J215" s="8" t="n">
        <v>37</v>
      </c>
      <c r="K215" s="8" t="n">
        <v>60</v>
      </c>
      <c r="L215" s="8" t="n">
        <v>0</v>
      </c>
      <c r="M215" s="8" t="n">
        <v>0</v>
      </c>
      <c r="N215" s="8" t="n">
        <v>26000</v>
      </c>
      <c r="O215" s="8" t="n">
        <v>374000</v>
      </c>
      <c r="P215" s="8" t="n">
        <v>0</v>
      </c>
    </row>
    <row r="216" ht="20" customHeight="1">
      <c r="A216" s="14" t="inlineStr"/>
      <c r="B216" s="15" t="inlineStr">
        <is>
          <t>Acc_ULSD2</t>
        </is>
      </c>
      <c r="C216" s="16" t="inlineStr">
        <is>
          <t>ULSD No 2</t>
        </is>
      </c>
      <c r="D216" s="17" t="inlineStr">
        <is>
          <t>Total</t>
        </is>
      </c>
      <c r="E216" s="18">
        <f>E215</f>
        <v/>
      </c>
      <c r="F216" s="18">
        <f>AVERAGE(F215)</f>
        <v/>
      </c>
      <c r="G216" s="18">
        <f>G215</f>
        <v/>
      </c>
      <c r="H216" s="18">
        <f>H215</f>
        <v/>
      </c>
      <c r="I216" s="19" t="inlineStr"/>
      <c r="J216" s="18">
        <f>AVERAGE(J215)</f>
        <v/>
      </c>
      <c r="K216" s="19" t="inlineStr"/>
      <c r="L216" s="18">
        <f>L215</f>
        <v/>
      </c>
      <c r="M216" s="19" t="inlineStr"/>
      <c r="N216" s="18">
        <f>N215</f>
        <v/>
      </c>
      <c r="O216" s="18">
        <f>O215</f>
        <v/>
      </c>
      <c r="P216" s="18">
        <f>P215</f>
        <v/>
      </c>
    </row>
    <row r="217" ht="20" customHeight="1">
      <c r="A217" s="3" t="inlineStr">
        <is>
          <t>43.  Acc_UnstnchdPropane  —  Unstenched Propane</t>
        </is>
      </c>
    </row>
    <row r="218" ht="18" customHeight="1">
      <c r="A218" s="4" t="inlineStr"/>
      <c r="B218" s="5" t="inlineStr">
        <is>
          <t>Acc_UnstnchdPropane</t>
        </is>
      </c>
      <c r="C218" s="6" t="inlineStr">
        <is>
          <t>Unstenched Propane</t>
        </is>
      </c>
      <c r="D218" s="7" t="inlineStr">
        <is>
          <t>TK274</t>
        </is>
      </c>
      <c r="E218" s="9" t="n">
        <v>683.45</v>
      </c>
      <c r="F218" s="9" t="n">
        <v>146.99</v>
      </c>
      <c r="G218" s="9" t="n">
        <v>348.23</v>
      </c>
      <c r="H218" s="9" t="n">
        <v>348.23</v>
      </c>
      <c r="I218" s="9" t="n">
        <v>3.938</v>
      </c>
      <c r="J218" s="9" t="n">
        <v>146.99</v>
      </c>
      <c r="K218" s="9" t="n">
        <v>56.6</v>
      </c>
      <c r="L218" s="8" t="n">
        <v>0</v>
      </c>
      <c r="M218" s="8" t="n">
        <v>0</v>
      </c>
      <c r="N218" s="9" t="n">
        <v>348.23</v>
      </c>
      <c r="O218" s="9" t="n">
        <v>399651.77</v>
      </c>
      <c r="P218" s="9" t="n">
        <v>-335.22</v>
      </c>
    </row>
    <row r="219" ht="18" customHeight="1">
      <c r="A219" s="10" t="inlineStr"/>
      <c r="B219" s="10" t="inlineStr"/>
      <c r="C219" s="11" t="inlineStr"/>
      <c r="D219" s="12" t="inlineStr">
        <is>
          <t>TK275</t>
        </is>
      </c>
      <c r="E219" s="13" t="n">
        <v>117.78</v>
      </c>
      <c r="F219" s="13" t="n">
        <v>146.99</v>
      </c>
      <c r="G219" s="13" t="n">
        <v>715.15</v>
      </c>
      <c r="H219" s="13" t="n">
        <v>715.15</v>
      </c>
      <c r="I219" s="13" t="n">
        <v>6.927</v>
      </c>
      <c r="J219" s="13" t="n">
        <v>146.99</v>
      </c>
      <c r="K219" s="13" t="n">
        <v>67.40000000000001</v>
      </c>
      <c r="L219" s="20" t="n">
        <v>0</v>
      </c>
      <c r="M219" s="20" t="n">
        <v>0</v>
      </c>
      <c r="N219" s="13" t="n">
        <v>715.15</v>
      </c>
      <c r="O219" s="13" t="n">
        <v>399284.85</v>
      </c>
      <c r="P219" s="13" t="n">
        <v>597.37</v>
      </c>
    </row>
    <row r="220" ht="18" customHeight="1">
      <c r="A220" s="4" t="inlineStr"/>
      <c r="B220" s="4" t="inlineStr"/>
      <c r="C220" s="6" t="inlineStr"/>
      <c r="D220" s="7" t="inlineStr">
        <is>
          <t>TK276</t>
        </is>
      </c>
      <c r="E220" s="9" t="n">
        <v>446.44</v>
      </c>
      <c r="F220" s="9" t="n">
        <v>146.66</v>
      </c>
      <c r="G220" s="9" t="n">
        <v>681.05</v>
      </c>
      <c r="H220" s="9" t="n">
        <v>681.05</v>
      </c>
      <c r="I220" s="9" t="n">
        <v>6.552</v>
      </c>
      <c r="J220" s="9" t="n">
        <v>146.66</v>
      </c>
      <c r="K220" s="9" t="n">
        <v>62.6</v>
      </c>
      <c r="L220" s="8" t="n">
        <v>0</v>
      </c>
      <c r="M220" s="8" t="n">
        <v>0</v>
      </c>
      <c r="N220" s="9" t="n">
        <v>681.05</v>
      </c>
      <c r="O220" s="9" t="n">
        <v>399318.95</v>
      </c>
      <c r="P220" s="9" t="n">
        <v>234.61</v>
      </c>
    </row>
    <row r="221" ht="18" customHeight="1">
      <c r="A221" s="10" t="inlineStr"/>
      <c r="B221" s="10" t="inlineStr"/>
      <c r="C221" s="11" t="inlineStr"/>
      <c r="D221" s="12" t="inlineStr">
        <is>
          <t>TK301</t>
        </is>
      </c>
      <c r="E221" s="13" t="n">
        <v>373.2</v>
      </c>
      <c r="F221" s="13" t="n">
        <v>146.39</v>
      </c>
      <c r="G221" s="13" t="n">
        <v>381.21</v>
      </c>
      <c r="H221" s="13" t="n">
        <v>381.21</v>
      </c>
      <c r="I221" s="13" t="n">
        <v>4.063</v>
      </c>
      <c r="J221" s="13" t="n">
        <v>146.39</v>
      </c>
      <c r="K221" s="13" t="n">
        <v>61.2</v>
      </c>
      <c r="L221" s="20" t="n">
        <v>0</v>
      </c>
      <c r="M221" s="20" t="n">
        <v>0</v>
      </c>
      <c r="N221" s="13" t="n">
        <v>381.21</v>
      </c>
      <c r="O221" s="13" t="n">
        <v>399618.79</v>
      </c>
      <c r="P221" s="13" t="n">
        <v>8.01</v>
      </c>
    </row>
    <row r="222" ht="18" customHeight="1">
      <c r="A222" s="4" t="inlineStr"/>
      <c r="B222" s="4" t="inlineStr"/>
      <c r="C222" s="6" t="inlineStr"/>
      <c r="D222" s="7" t="inlineStr">
        <is>
          <t>TK302</t>
        </is>
      </c>
      <c r="E222" s="9" t="n">
        <v>51.22</v>
      </c>
      <c r="F222" s="9" t="n">
        <v>146.39</v>
      </c>
      <c r="G222" s="9" t="n">
        <v>490.21</v>
      </c>
      <c r="H222" s="9" t="n">
        <v>490.21</v>
      </c>
      <c r="I222" s="9" t="n">
        <v>4.958</v>
      </c>
      <c r="J222" s="9" t="n">
        <v>146.39</v>
      </c>
      <c r="K222" s="9" t="n">
        <v>66.8</v>
      </c>
      <c r="L222" s="8" t="n">
        <v>0</v>
      </c>
      <c r="M222" s="8" t="n">
        <v>0</v>
      </c>
      <c r="N222" s="9" t="n">
        <v>490.21</v>
      </c>
      <c r="O222" s="9" t="n">
        <v>399509.79</v>
      </c>
      <c r="P222" s="9" t="n">
        <v>438.99</v>
      </c>
    </row>
    <row r="223" ht="18" customHeight="1">
      <c r="A223" s="10" t="inlineStr"/>
      <c r="B223" s="10" t="inlineStr"/>
      <c r="C223" s="11" t="inlineStr"/>
      <c r="D223" s="12" t="inlineStr">
        <is>
          <t>TK303</t>
        </is>
      </c>
      <c r="E223" s="13" t="n">
        <v>712.53</v>
      </c>
      <c r="F223" s="13" t="n">
        <v>146.39</v>
      </c>
      <c r="G223" s="13" t="n">
        <v>720.95</v>
      </c>
      <c r="H223" s="13" t="n">
        <v>720.95</v>
      </c>
      <c r="I223" s="13" t="n">
        <v>6.792</v>
      </c>
      <c r="J223" s="13" t="n">
        <v>146.39</v>
      </c>
      <c r="K223" s="13" t="n">
        <v>57</v>
      </c>
      <c r="L223" s="20" t="n">
        <v>0</v>
      </c>
      <c r="M223" s="20" t="n">
        <v>0</v>
      </c>
      <c r="N223" s="13" t="n">
        <v>720.95</v>
      </c>
      <c r="O223" s="13" t="n">
        <v>399279.05</v>
      </c>
      <c r="P223" s="13" t="n">
        <v>8.42</v>
      </c>
    </row>
    <row r="224" ht="18" customHeight="1">
      <c r="A224" s="4" t="inlineStr"/>
      <c r="B224" s="4" t="inlineStr"/>
      <c r="C224" s="6" t="inlineStr"/>
      <c r="D224" s="7" t="inlineStr">
        <is>
          <t>TK325</t>
        </is>
      </c>
      <c r="E224" s="9" t="n">
        <v>683.09</v>
      </c>
      <c r="F224" s="9" t="n">
        <v>146.39</v>
      </c>
      <c r="G224" s="9" t="n">
        <v>676.65</v>
      </c>
      <c r="H224" s="9" t="n">
        <v>676.65</v>
      </c>
      <c r="I224" s="9" t="n">
        <v>6.375</v>
      </c>
      <c r="J224" s="9" t="n">
        <v>146.39</v>
      </c>
      <c r="K224" s="9" t="n">
        <v>54.8</v>
      </c>
      <c r="L224" s="8" t="n">
        <v>0</v>
      </c>
      <c r="M224" s="8" t="n">
        <v>0</v>
      </c>
      <c r="N224" s="9" t="n">
        <v>676.65</v>
      </c>
      <c r="O224" s="9" t="n">
        <v>399323.35</v>
      </c>
      <c r="P224" s="9" t="n">
        <v>-6.44</v>
      </c>
    </row>
    <row r="225" ht="18" customHeight="1">
      <c r="A225" s="10" t="inlineStr"/>
      <c r="B225" s="10" t="inlineStr"/>
      <c r="C225" s="11" t="inlineStr"/>
      <c r="D225" s="12" t="inlineStr">
        <is>
          <t>TK326</t>
        </is>
      </c>
      <c r="E225" s="13" t="n">
        <v>194.26</v>
      </c>
      <c r="F225" s="13" t="n">
        <v>147.04</v>
      </c>
      <c r="G225" s="13" t="n">
        <v>76.67</v>
      </c>
      <c r="H225" s="13" t="n">
        <v>76.67</v>
      </c>
      <c r="I225" s="13" t="n">
        <v>1.344</v>
      </c>
      <c r="J225" s="13" t="n">
        <v>147.04</v>
      </c>
      <c r="K225" s="13" t="n">
        <v>50.4</v>
      </c>
      <c r="L225" s="20" t="n">
        <v>0</v>
      </c>
      <c r="M225" s="20" t="n">
        <v>0</v>
      </c>
      <c r="N225" s="13" t="n">
        <v>76.67</v>
      </c>
      <c r="O225" s="13" t="n">
        <v>399923.33</v>
      </c>
      <c r="P225" s="13" t="n">
        <v>-117.59</v>
      </c>
    </row>
    <row r="226" ht="18" customHeight="1">
      <c r="A226" s="4" t="inlineStr"/>
      <c r="B226" s="4" t="inlineStr"/>
      <c r="C226" s="6" t="inlineStr"/>
      <c r="D226" s="7" t="inlineStr">
        <is>
          <t>TK327</t>
        </is>
      </c>
      <c r="E226" s="9" t="n">
        <v>143.94</v>
      </c>
      <c r="F226" s="9" t="n">
        <v>146.93</v>
      </c>
      <c r="G226" s="9" t="n">
        <v>142.82</v>
      </c>
      <c r="H226" s="9" t="n">
        <v>142.82</v>
      </c>
      <c r="I226" s="9" t="n">
        <v>2.052</v>
      </c>
      <c r="J226" s="9" t="n">
        <v>146.93</v>
      </c>
      <c r="K226" s="9" t="n">
        <v>56.2</v>
      </c>
      <c r="L226" s="8" t="n">
        <v>0</v>
      </c>
      <c r="M226" s="8" t="n">
        <v>0</v>
      </c>
      <c r="N226" s="9" t="n">
        <v>142.82</v>
      </c>
      <c r="O226" s="9" t="n">
        <v>399857.18</v>
      </c>
      <c r="P226" s="9" t="n">
        <v>-1.12</v>
      </c>
    </row>
    <row r="227" ht="18" customHeight="1">
      <c r="A227" s="10" t="inlineStr"/>
      <c r="B227" s="10" t="inlineStr"/>
      <c r="C227" s="11" t="inlineStr"/>
      <c r="D227" s="12" t="inlineStr">
        <is>
          <t>TK340</t>
        </is>
      </c>
      <c r="E227" s="13" t="n">
        <v>103.13</v>
      </c>
      <c r="F227" s="13" t="n">
        <v>146.71</v>
      </c>
      <c r="G227" s="13" t="n">
        <v>107.69</v>
      </c>
      <c r="H227" s="13" t="n">
        <v>107.69</v>
      </c>
      <c r="I227" s="13" t="n">
        <v>2.125</v>
      </c>
      <c r="J227" s="13" t="n">
        <v>146.71</v>
      </c>
      <c r="K227" s="13" t="n">
        <v>61.6</v>
      </c>
      <c r="L227" s="20" t="n">
        <v>0</v>
      </c>
      <c r="M227" s="20" t="n">
        <v>0</v>
      </c>
      <c r="N227" s="13" t="n">
        <v>107.69</v>
      </c>
      <c r="O227" s="13" t="n">
        <v>399892.31</v>
      </c>
      <c r="P227" s="13" t="n">
        <v>4.56</v>
      </c>
    </row>
    <row r="228" ht="18" customHeight="1">
      <c r="A228" s="4" t="inlineStr"/>
      <c r="B228" s="4" t="inlineStr"/>
      <c r="C228" s="6" t="inlineStr"/>
      <c r="D228" s="7" t="inlineStr">
        <is>
          <t>TK341</t>
        </is>
      </c>
      <c r="E228" s="9" t="n">
        <v>148.55</v>
      </c>
      <c r="F228" s="9" t="n">
        <v>146.71</v>
      </c>
      <c r="G228" s="9" t="n">
        <v>152.8</v>
      </c>
      <c r="H228" s="9" t="n">
        <v>152.8</v>
      </c>
      <c r="I228" s="9" t="n">
        <v>2.75</v>
      </c>
      <c r="J228" s="9" t="n">
        <v>146.71</v>
      </c>
      <c r="K228" s="9" t="n">
        <v>56.4</v>
      </c>
      <c r="L228" s="8" t="n">
        <v>0</v>
      </c>
      <c r="M228" s="8" t="n">
        <v>0</v>
      </c>
      <c r="N228" s="9" t="n">
        <v>152.8</v>
      </c>
      <c r="O228" s="9" t="n">
        <v>399847.2</v>
      </c>
      <c r="P228" s="9" t="n">
        <v>4.25</v>
      </c>
    </row>
    <row r="229" ht="18" customHeight="1">
      <c r="A229" s="10" t="inlineStr"/>
      <c r="B229" s="10" t="inlineStr"/>
      <c r="C229" s="11" t="inlineStr"/>
      <c r="D229" s="12" t="inlineStr">
        <is>
          <t>TK342</t>
        </is>
      </c>
      <c r="E229" s="13" t="n">
        <v>149.37</v>
      </c>
      <c r="F229" s="13" t="n">
        <v>146.82</v>
      </c>
      <c r="G229" s="13" t="n">
        <v>153.61</v>
      </c>
      <c r="H229" s="13" t="n">
        <v>153.61</v>
      </c>
      <c r="I229" s="13" t="n">
        <v>2.76</v>
      </c>
      <c r="J229" s="13" t="n">
        <v>146.82</v>
      </c>
      <c r="K229" s="13" t="n">
        <v>59.8</v>
      </c>
      <c r="L229" s="20" t="n">
        <v>0</v>
      </c>
      <c r="M229" s="20" t="n">
        <v>0</v>
      </c>
      <c r="N229" s="13" t="n">
        <v>153.61</v>
      </c>
      <c r="O229" s="13" t="n">
        <v>399846.39</v>
      </c>
      <c r="P229" s="13" t="n">
        <v>4.24</v>
      </c>
    </row>
    <row r="230" ht="18" customHeight="1">
      <c r="A230" s="4" t="inlineStr"/>
      <c r="B230" s="4" t="inlineStr"/>
      <c r="C230" s="6" t="inlineStr"/>
      <c r="D230" s="7" t="inlineStr">
        <is>
          <t>TK343</t>
        </is>
      </c>
      <c r="E230" s="9" t="n">
        <v>149.4</v>
      </c>
      <c r="F230" s="9" t="n">
        <v>146.82</v>
      </c>
      <c r="G230" s="9" t="n">
        <v>154.53</v>
      </c>
      <c r="H230" s="9" t="n">
        <v>154.53</v>
      </c>
      <c r="I230" s="9" t="n">
        <v>2.771</v>
      </c>
      <c r="J230" s="9" t="n">
        <v>146.82</v>
      </c>
      <c r="K230" s="9" t="n">
        <v>57.8</v>
      </c>
      <c r="L230" s="8" t="n">
        <v>0</v>
      </c>
      <c r="M230" s="8" t="n">
        <v>0</v>
      </c>
      <c r="N230" s="9" t="n">
        <v>154.53</v>
      </c>
      <c r="O230" s="9" t="n">
        <v>399845.47</v>
      </c>
      <c r="P230" s="9" t="n">
        <v>5.13</v>
      </c>
    </row>
    <row r="231" ht="18" customHeight="1">
      <c r="A231" s="10" t="inlineStr"/>
      <c r="B231" s="10" t="inlineStr"/>
      <c r="C231" s="11" t="inlineStr"/>
      <c r="D231" s="12" t="inlineStr">
        <is>
          <t>TK354</t>
        </is>
      </c>
      <c r="E231" s="13" t="n">
        <v>1382.43</v>
      </c>
      <c r="F231" s="13" t="n">
        <v>146.88</v>
      </c>
      <c r="G231" s="13" t="n">
        <v>1391.24</v>
      </c>
      <c r="H231" s="13" t="n">
        <v>1391.24</v>
      </c>
      <c r="I231" s="13" t="n">
        <v>8.801</v>
      </c>
      <c r="J231" s="13" t="n">
        <v>146.88</v>
      </c>
      <c r="K231" s="13" t="n">
        <v>64.962</v>
      </c>
      <c r="L231" s="20" t="n">
        <v>0</v>
      </c>
      <c r="M231" s="20" t="n">
        <v>0</v>
      </c>
      <c r="N231" s="13" t="n">
        <v>1391.24</v>
      </c>
      <c r="O231" s="13" t="n">
        <v>398608.76</v>
      </c>
      <c r="P231" s="13" t="n">
        <v>8.81</v>
      </c>
    </row>
    <row r="232" ht="20" customHeight="1">
      <c r="A232" s="14" t="inlineStr"/>
      <c r="B232" s="15" t="inlineStr">
        <is>
          <t>Acc_UnstnchdPropane</t>
        </is>
      </c>
      <c r="C232" s="16" t="inlineStr">
        <is>
          <t>Unstenched Propane</t>
        </is>
      </c>
      <c r="D232" s="17" t="inlineStr">
        <is>
          <t>Total</t>
        </is>
      </c>
      <c r="E232" s="18">
        <f>E218+E219+E220+E221+E222+E223+E224+E225+E226+E227+E228+E229+E230+E231</f>
        <v/>
      </c>
      <c r="F232" s="18">
        <f>AVERAGE(F218,F219,F220,F221,F222,F223,F224,F225,F226,F227,F228,F229,F230,F231)</f>
        <v/>
      </c>
      <c r="G232" s="18">
        <f>G218+G219+G220+G221+G222+G223+G224+G225+G226+G227+G228+G229+G230+G231</f>
        <v/>
      </c>
      <c r="H232" s="18">
        <f>H218+H219+H220+H221+H222+H223+H224+H225+H226+H227+H228+H229+H230+H231</f>
        <v/>
      </c>
      <c r="I232" s="19" t="inlineStr"/>
      <c r="J232" s="18">
        <f>AVERAGE(J218,J219,J220,J221,J222,J223,J224,J225,J226,J227,J228,J229,J230,J231)</f>
        <v/>
      </c>
      <c r="K232" s="19" t="inlineStr"/>
      <c r="L232" s="18">
        <f>L218+L219+L220+L221+L222+L223+L224+L225+L226+L227+L228+L229+L230+L231</f>
        <v/>
      </c>
      <c r="M232" s="19" t="inlineStr"/>
      <c r="N232" s="18">
        <f>N218+N219+N220+N221+N222+N223+N224+N225+N226+N227+N228+N229+N230+N231</f>
        <v/>
      </c>
      <c r="O232" s="18">
        <f>O218+O219+O220+O221+O222+O223+O224+O225+O226+O227+O228+O229+O230+O231</f>
        <v/>
      </c>
      <c r="P232" s="18">
        <f>P218+P219+P220+P221+P222+P223+P224+P225+P226+P227+P228+P229+P230+P231</f>
        <v/>
      </c>
    </row>
    <row r="233" ht="20" customHeight="1">
      <c r="A233" s="3" t="inlineStr">
        <is>
          <t>44.  H20  —  Water</t>
        </is>
      </c>
    </row>
    <row r="234" ht="18" customHeight="1">
      <c r="A234" s="4" t="inlineStr"/>
      <c r="B234" s="5" t="inlineStr">
        <is>
          <t>H20</t>
        </is>
      </c>
      <c r="C234" s="6" t="inlineStr">
        <is>
          <t>Water</t>
        </is>
      </c>
      <c r="D234" s="7" t="inlineStr">
        <is>
          <t>TK83</t>
        </is>
      </c>
      <c r="E234" s="9" t="n">
        <v>21890.547</v>
      </c>
      <c r="F234" s="8" t="n">
        <v>30</v>
      </c>
      <c r="G234" s="9" t="n">
        <v>22053.975</v>
      </c>
      <c r="H234" s="9" t="n">
        <v>22175.72</v>
      </c>
      <c r="I234" s="9" t="n">
        <v>21.583</v>
      </c>
      <c r="J234" s="8" t="n">
        <v>30</v>
      </c>
      <c r="K234" s="9" t="n">
        <v>73.8</v>
      </c>
      <c r="L234" s="9" t="n">
        <v>1996.86</v>
      </c>
      <c r="M234" s="8" t="n">
        <v>2</v>
      </c>
      <c r="N234" s="9" t="n">
        <v>22053.975</v>
      </c>
      <c r="O234" s="9" t="n">
        <v>377946.025</v>
      </c>
      <c r="P234" s="9" t="n">
        <v>163.428</v>
      </c>
    </row>
    <row r="235" ht="20" customHeight="1">
      <c r="A235" s="14" t="inlineStr"/>
      <c r="B235" s="15" t="inlineStr">
        <is>
          <t>H20</t>
        </is>
      </c>
      <c r="C235" s="16" t="inlineStr">
        <is>
          <t>Water</t>
        </is>
      </c>
      <c r="D235" s="17" t="inlineStr">
        <is>
          <t>Total</t>
        </is>
      </c>
      <c r="E235" s="18">
        <f>E234</f>
        <v/>
      </c>
      <c r="F235" s="18">
        <f>AVERAGE(F234)</f>
        <v/>
      </c>
      <c r="G235" s="18">
        <f>G234</f>
        <v/>
      </c>
      <c r="H235" s="18">
        <f>H234</f>
        <v/>
      </c>
      <c r="I235" s="19" t="inlineStr"/>
      <c r="J235" s="18">
        <f>AVERAGE(J234)</f>
        <v/>
      </c>
      <c r="K235" s="19" t="inlineStr"/>
      <c r="L235" s="18">
        <f>L234</f>
        <v/>
      </c>
      <c r="M235" s="19" t="inlineStr"/>
      <c r="N235" s="18">
        <f>N234</f>
        <v/>
      </c>
      <c r="O235" s="18">
        <f>O234</f>
        <v/>
      </c>
      <c r="P235" s="18">
        <f>P234</f>
        <v/>
      </c>
    </row>
    <row r="236" ht="20" customHeight="1">
      <c r="A236" s="3" t="inlineStr">
        <is>
          <t>45.  OOS  —  Out of Service</t>
        </is>
      </c>
    </row>
    <row r="237" ht="18" customHeight="1">
      <c r="A237" s="4" t="inlineStr"/>
      <c r="B237" s="5" t="inlineStr">
        <is>
          <t>OOS</t>
        </is>
      </c>
      <c r="C237" s="6" t="inlineStr">
        <is>
          <t>Out of Service</t>
        </is>
      </c>
      <c r="D237" s="7" t="inlineStr">
        <is>
          <t>TK153</t>
        </is>
      </c>
      <c r="E237" s="9" t="n">
        <v>671.39</v>
      </c>
      <c r="F237" s="8" t="n">
        <v>65</v>
      </c>
      <c r="G237" s="9" t="n">
        <v>671.39</v>
      </c>
      <c r="H237" s="9" t="n">
        <v>671.39</v>
      </c>
      <c r="I237" s="9" t="n">
        <v>9.417</v>
      </c>
      <c r="J237" s="8" t="n">
        <v>65</v>
      </c>
      <c r="K237" s="9" t="n">
        <v>64.2</v>
      </c>
      <c r="L237" s="9" t="n">
        <v>1368.635</v>
      </c>
      <c r="M237" s="9" t="n">
        <v>6.417</v>
      </c>
      <c r="N237" s="9" t="n">
        <v>671.39</v>
      </c>
      <c r="O237" s="9" t="n">
        <v>399328.61</v>
      </c>
      <c r="P237" s="8" t="n">
        <v>0</v>
      </c>
    </row>
    <row r="238" ht="18" customHeight="1">
      <c r="A238" s="10" t="inlineStr"/>
      <c r="B238" s="10" t="inlineStr"/>
      <c r="C238" s="11" t="inlineStr"/>
      <c r="D238" s="12" t="inlineStr">
        <is>
          <t>TK774</t>
        </is>
      </c>
      <c r="E238" s="13" t="n">
        <v>11651.13</v>
      </c>
      <c r="F238" s="20" t="n">
        <v>-1</v>
      </c>
      <c r="G238" s="13" t="n">
        <v>11403.97</v>
      </c>
      <c r="H238" s="13" t="n">
        <v>11403.97</v>
      </c>
      <c r="I238" s="13" t="n">
        <v>10.292</v>
      </c>
      <c r="J238" s="20" t="n">
        <v>-1</v>
      </c>
      <c r="K238" s="13" t="n">
        <v>90.2</v>
      </c>
      <c r="L238" s="20" t="n">
        <v>0</v>
      </c>
      <c r="M238" s="20" t="n">
        <v>0</v>
      </c>
      <c r="N238" s="13" t="n">
        <v>11403.97</v>
      </c>
      <c r="O238" s="13" t="n">
        <v>388596.03</v>
      </c>
      <c r="P238" s="13" t="n">
        <v>-247.16</v>
      </c>
    </row>
    <row r="239" ht="18" customHeight="1">
      <c r="A239" s="4" t="inlineStr"/>
      <c r="B239" s="4" t="inlineStr"/>
      <c r="C239" s="6" t="inlineStr"/>
      <c r="D239" s="7" t="inlineStr">
        <is>
          <t>TK775</t>
        </is>
      </c>
      <c r="E239" s="9" t="n">
        <v>11805.13</v>
      </c>
      <c r="F239" s="8" t="n">
        <v>10</v>
      </c>
      <c r="G239" s="9" t="n">
        <v>11568.23</v>
      </c>
      <c r="H239" s="9" t="n">
        <v>11568.23</v>
      </c>
      <c r="I239" s="9" t="n">
        <v>9.708</v>
      </c>
      <c r="J239" s="8" t="n">
        <v>10</v>
      </c>
      <c r="K239" s="9" t="n">
        <v>78.40000000000001</v>
      </c>
      <c r="L239" s="8" t="n">
        <v>0</v>
      </c>
      <c r="M239" s="8" t="n">
        <v>0</v>
      </c>
      <c r="N239" s="9" t="n">
        <v>11568.23</v>
      </c>
      <c r="O239" s="9" t="n">
        <v>388431.77</v>
      </c>
      <c r="P239" s="9" t="n">
        <v>-236.9</v>
      </c>
    </row>
    <row r="240" ht="20" customHeight="1">
      <c r="A240" s="14" t="inlineStr"/>
      <c r="B240" s="15" t="inlineStr">
        <is>
          <t>OOS</t>
        </is>
      </c>
      <c r="C240" s="16" t="inlineStr">
        <is>
          <t>Out of Service</t>
        </is>
      </c>
      <c r="D240" s="17" t="inlineStr">
        <is>
          <t>Total</t>
        </is>
      </c>
      <c r="E240" s="18">
        <f>E237+E238+E239</f>
        <v/>
      </c>
      <c r="F240" s="18">
        <f>AVERAGE(F237,F238,F239)</f>
        <v/>
      </c>
      <c r="G240" s="18">
        <f>G237+G238+G239</f>
        <v/>
      </c>
      <c r="H240" s="18">
        <f>H237+H238+H239</f>
        <v/>
      </c>
      <c r="I240" s="19" t="inlineStr"/>
      <c r="J240" s="18">
        <f>AVERAGE(J237,J238,J239)</f>
        <v/>
      </c>
      <c r="K240" s="19" t="inlineStr"/>
      <c r="L240" s="18">
        <f>L237+L238+L239</f>
        <v/>
      </c>
      <c r="M240" s="19" t="inlineStr"/>
      <c r="N240" s="18">
        <f>N237+N238+N239</f>
        <v/>
      </c>
      <c r="O240" s="18">
        <f>O237+O238+O239</f>
        <v/>
      </c>
      <c r="P240" s="18">
        <f>P237+P238+P239</f>
        <v/>
      </c>
    </row>
  </sheetData>
  <mergeCells count="46">
    <mergeCell ref="A160:P160"/>
    <mergeCell ref="A194:P194"/>
    <mergeCell ref="A32:P32"/>
    <mergeCell ref="A17:P17"/>
    <mergeCell ref="A106:P106"/>
    <mergeCell ref="A97:P97"/>
    <mergeCell ref="A109:P109"/>
    <mergeCell ref="A200:P200"/>
    <mergeCell ref="A171:P171"/>
    <mergeCell ref="A52:P52"/>
    <mergeCell ref="A112:P112"/>
    <mergeCell ref="A156:P156"/>
    <mergeCell ref="A63:P63"/>
    <mergeCell ref="A121:P121"/>
    <mergeCell ref="A10:P10"/>
    <mergeCell ref="A48:P48"/>
    <mergeCell ref="A59:P59"/>
    <mergeCell ref="A82:P82"/>
    <mergeCell ref="A166:P166"/>
    <mergeCell ref="A142:P142"/>
    <mergeCell ref="A103:P103"/>
    <mergeCell ref="A36:P36"/>
    <mergeCell ref="A1:P1"/>
    <mergeCell ref="A69:P69"/>
    <mergeCell ref="A78:P78"/>
    <mergeCell ref="A124:P124"/>
    <mergeCell ref="A153:P153"/>
    <mergeCell ref="A205:P205"/>
    <mergeCell ref="A7:P7"/>
    <mergeCell ref="A128:P128"/>
    <mergeCell ref="A75:P75"/>
    <mergeCell ref="A133:P133"/>
    <mergeCell ref="A208:P208"/>
    <mergeCell ref="A66:P66"/>
    <mergeCell ref="A89:P89"/>
    <mergeCell ref="A217:P217"/>
    <mergeCell ref="A118:P118"/>
    <mergeCell ref="A233:P233"/>
    <mergeCell ref="A136:P136"/>
    <mergeCell ref="A236:P236"/>
    <mergeCell ref="A214:P214"/>
    <mergeCell ref="A3:P3"/>
    <mergeCell ref="A21:P21"/>
    <mergeCell ref="A26:P26"/>
    <mergeCell ref="A86:P86"/>
    <mergeCell ref="A175:P17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3"/>
  <sheetViews>
    <sheetView showGridLines="0" workbookViewId="0">
      <pane ySplit="3" topLeftCell="A4" activePane="bottomLeft" state="frozen"/>
      <selection pane="bottomLeft" activeCell="A1" sqref="A1"/>
    </sheetView>
  </sheetViews>
  <sheetFormatPr baseColWidth="8" defaultRowHeight="15"/>
  <cols>
    <col width="4" customWidth="1" min="1" max="1"/>
    <col width="24" customWidth="1" min="2" max="2"/>
    <col width="34" customWidth="1" min="3" max="3"/>
    <col width="30" customWidth="1" min="4" max="4"/>
    <col width="8" customWidth="1" min="5" max="5"/>
    <col width="48" customWidth="1" min="6" max="6"/>
    <col width="12" customWidth="1" min="7" max="7"/>
    <col width="44" customWidth="1" min="8" max="8"/>
  </cols>
  <sheetData>
    <row r="1" ht="28" customHeight="1">
      <c r="A1" s="21" t="inlineStr">
        <is>
          <t>KPI  ·  TABLE  ·  FORMULA REFERENCE  —  Formulas are live (click a cell → see formula in fx bar)</t>
        </is>
      </c>
    </row>
    <row r="2" ht="18" customHeight="1">
      <c r="A2" s="22" t="inlineStr">
        <is>
          <t>Legend:  ■ GREEN cell = SUM formula   ■ YELLOW cell = AVERAGE formula   ■ GREY cell = Raw Data (no aggregation)     Click any formula cell → formula appears in fx bar above</t>
        </is>
      </c>
    </row>
    <row r="3" ht="36" customHeight="1">
      <c r="A3" s="2" t="inlineStr">
        <is>
          <t>#</t>
        </is>
      </c>
      <c r="B3" s="2" t="inlineStr">
        <is>
          <t>SAP Code
(Table Name)</t>
        </is>
      </c>
      <c r="C3" s="2" t="inlineStr">
        <is>
          <t>Full Product Name</t>
        </is>
      </c>
      <c r="D3" s="2" t="inlineStr">
        <is>
          <t>KPI Name</t>
        </is>
      </c>
      <c r="E3" s="2" t="inlineStr">
        <is>
          <t>KPI Col</t>
        </is>
      </c>
      <c r="F3" s="2" t="inlineStr">
        <is>
          <t>Formula
(Live — shown in fx bar)</t>
        </is>
      </c>
      <c r="G3" s="2" t="inlineStr">
        <is>
          <t>Formula
Type</t>
        </is>
      </c>
      <c r="H3" s="2" t="inlineStr">
        <is>
          <t>Tanks in Group</t>
        </is>
      </c>
    </row>
    <row r="4" ht="22" customHeight="1">
      <c r="A4" s="23" t="n">
        <v>1</v>
      </c>
      <c r="B4" s="24" t="inlineStr">
        <is>
          <t>Acc_84Blendgrade</t>
        </is>
      </c>
      <c r="C4" s="25" t="inlineStr">
        <is>
          <t>84 Blendgrade</t>
        </is>
      </c>
      <c r="D4" s="25" t="inlineStr">
        <is>
          <t>Opening Net Volume (BBLs)</t>
        </is>
      </c>
      <c r="E4" s="23" t="inlineStr">
        <is>
          <t>E</t>
        </is>
      </c>
      <c r="F4" s="26">
        <f>'Daily Inventory (Live Formulas)'!E4+'Daily Inventory (Live Formulas)'!E5</f>
        <v/>
      </c>
      <c r="G4" s="27" t="inlineStr">
        <is>
          <t>SUM</t>
        </is>
      </c>
      <c r="H4" s="25" t="inlineStr">
        <is>
          <t>LF_001, TK51</t>
        </is>
      </c>
    </row>
    <row r="5" ht="22" customHeight="1">
      <c r="A5" s="28" t="inlineStr"/>
      <c r="B5" s="29" t="inlineStr"/>
      <c r="C5" s="25" t="inlineStr"/>
      <c r="D5" s="25" t="inlineStr">
        <is>
          <t>Opening Gravity</t>
        </is>
      </c>
      <c r="E5" s="23" t="inlineStr">
        <is>
          <t>F</t>
        </is>
      </c>
      <c r="F5" s="30">
        <f>AVERAGE('Daily Inventory (Live Formulas)'!F4,'Daily Inventory (Live Formulas)'!F5)</f>
        <v/>
      </c>
      <c r="G5" s="31" t="inlineStr">
        <is>
          <t>AVERAGE</t>
        </is>
      </c>
      <c r="H5" s="25" t="inlineStr"/>
    </row>
    <row r="6" ht="22" customHeight="1">
      <c r="A6" s="28" t="inlineStr"/>
      <c r="B6" s="29" t="inlineStr"/>
      <c r="C6" s="25" t="inlineStr"/>
      <c r="D6" s="25" t="inlineStr">
        <is>
          <t>Closing Net Volume (BBLs)</t>
        </is>
      </c>
      <c r="E6" s="23" t="inlineStr">
        <is>
          <t>G</t>
        </is>
      </c>
      <c r="F6" s="26">
        <f>'Daily Inventory (Live Formulas)'!G4+'Daily Inventory (Live Formulas)'!G5</f>
        <v/>
      </c>
      <c r="G6" s="27" t="inlineStr">
        <is>
          <t>SUM</t>
        </is>
      </c>
      <c r="H6" s="25" t="inlineStr"/>
    </row>
    <row r="7" ht="22" customHeight="1">
      <c r="A7" s="28" t="inlineStr"/>
      <c r="B7" s="29" t="inlineStr"/>
      <c r="C7" s="25" t="inlineStr"/>
      <c r="D7" s="25" t="inlineStr">
        <is>
          <t>Closing Gross Volume (BBLs)</t>
        </is>
      </c>
      <c r="E7" s="23" t="inlineStr">
        <is>
          <t>H</t>
        </is>
      </c>
      <c r="F7" s="26">
        <f>'Daily Inventory (Live Formulas)'!H4+'Daily Inventory (Live Formulas)'!H5</f>
        <v/>
      </c>
      <c r="G7" s="27" t="inlineStr">
        <is>
          <t>SUM</t>
        </is>
      </c>
      <c r="H7" s="25" t="inlineStr"/>
    </row>
    <row r="8" ht="22" customHeight="1">
      <c r="A8" s="28" t="inlineStr"/>
      <c r="B8" s="29" t="inlineStr"/>
      <c r="C8" s="25" t="inlineStr"/>
      <c r="D8" s="25" t="inlineStr">
        <is>
          <t>Level Feet</t>
        </is>
      </c>
      <c r="E8" s="23" t="inlineStr">
        <is>
          <t>I</t>
        </is>
      </c>
      <c r="F8" s="32">
        <f>"'Daily Inventory (Live Formulas)'!I4 — Raw data, no formula"</f>
        <v/>
      </c>
      <c r="G8" s="33" t="inlineStr">
        <is>
          <t>Raw Data</t>
        </is>
      </c>
      <c r="H8" s="25" t="inlineStr"/>
    </row>
    <row r="9" ht="22" customHeight="1">
      <c r="A9" s="28" t="inlineStr"/>
      <c r="B9" s="29" t="inlineStr"/>
      <c r="C9" s="25" t="inlineStr"/>
      <c r="D9" s="25" t="inlineStr">
        <is>
          <t>Gravity (Closing)</t>
        </is>
      </c>
      <c r="E9" s="23" t="inlineStr">
        <is>
          <t>J</t>
        </is>
      </c>
      <c r="F9" s="30">
        <f>AVERAGE('Daily Inventory (Live Formulas)'!J4,'Daily Inventory (Live Formulas)'!J5)</f>
        <v/>
      </c>
      <c r="G9" s="31" t="inlineStr">
        <is>
          <t>AVERAGE</t>
        </is>
      </c>
      <c r="H9" s="25" t="inlineStr"/>
    </row>
    <row r="10" ht="22" customHeight="1">
      <c r="A10" s="28" t="inlineStr"/>
      <c r="B10" s="29" t="inlineStr"/>
      <c r="C10" s="25" t="inlineStr"/>
      <c r="D10" s="25" t="inlineStr">
        <is>
          <t>Temperature</t>
        </is>
      </c>
      <c r="E10" s="23" t="inlineStr">
        <is>
          <t>K</t>
        </is>
      </c>
      <c r="F10" s="32">
        <f>"'Daily Inventory (Live Formulas)'!K4 — Raw data, no formula"</f>
        <v/>
      </c>
      <c r="G10" s="33" t="inlineStr">
        <is>
          <t>Raw Data</t>
        </is>
      </c>
      <c r="H10" s="25" t="inlineStr"/>
    </row>
    <row r="11" ht="22" customHeight="1">
      <c r="A11" s="28" t="inlineStr"/>
      <c r="B11" s="29" t="inlineStr"/>
      <c r="C11" s="25" t="inlineStr"/>
      <c r="D11" s="25" t="inlineStr">
        <is>
          <t>Total Water (BBLs)</t>
        </is>
      </c>
      <c r="E11" s="23" t="inlineStr">
        <is>
          <t>L</t>
        </is>
      </c>
      <c r="F11" s="26">
        <f>'Daily Inventory (Live Formulas)'!L4+'Daily Inventory (Live Formulas)'!L5</f>
        <v/>
      </c>
      <c r="G11" s="27" t="inlineStr">
        <is>
          <t>SUM</t>
        </is>
      </c>
      <c r="H11" s="25" t="inlineStr"/>
    </row>
    <row r="12" ht="22" customHeight="1">
      <c r="A12" s="28" t="inlineStr"/>
      <c r="B12" s="29" t="inlineStr"/>
      <c r="C12" s="25" t="inlineStr"/>
      <c r="D12" s="25" t="inlineStr">
        <is>
          <t>BSW Feet</t>
        </is>
      </c>
      <c r="E12" s="23" t="inlineStr">
        <is>
          <t>M</t>
        </is>
      </c>
      <c r="F12" s="32">
        <f>"'Daily Inventory (Live Formulas)'!M4 — Raw data, no formula"</f>
        <v/>
      </c>
      <c r="G12" s="33" t="inlineStr">
        <is>
          <t>Raw Data</t>
        </is>
      </c>
      <c r="H12" s="25" t="inlineStr"/>
    </row>
    <row r="13" ht="22" customHeight="1">
      <c r="A13" s="28" t="inlineStr"/>
      <c r="B13" s="29" t="inlineStr"/>
      <c r="C13" s="25" t="inlineStr"/>
      <c r="D13" s="25" t="inlineStr">
        <is>
          <t>Volume of Available Product (BBLs)</t>
        </is>
      </c>
      <c r="E13" s="23" t="inlineStr">
        <is>
          <t>N</t>
        </is>
      </c>
      <c r="F13" s="26">
        <f>'Daily Inventory (Live Formulas)'!N4+'Daily Inventory (Live Formulas)'!N5</f>
        <v/>
      </c>
      <c r="G13" s="27" t="inlineStr">
        <is>
          <t>SUM</t>
        </is>
      </c>
      <c r="H13" s="25" t="inlineStr"/>
    </row>
    <row r="14" ht="22" customHeight="1">
      <c r="A14" s="28" t="inlineStr"/>
      <c r="B14" s="29" t="inlineStr"/>
      <c r="C14" s="25" t="inlineStr"/>
      <c r="D14" s="25" t="inlineStr">
        <is>
          <t>Remaining Capacity (BBLs)</t>
        </is>
      </c>
      <c r="E14" s="23" t="inlineStr">
        <is>
          <t>O</t>
        </is>
      </c>
      <c r="F14" s="26">
        <f>'Daily Inventory (Live Formulas)'!O4+'Daily Inventory (Live Formulas)'!O5</f>
        <v/>
      </c>
      <c r="G14" s="27" t="inlineStr">
        <is>
          <t>SUM</t>
        </is>
      </c>
      <c r="H14" s="25" t="inlineStr"/>
    </row>
    <row r="15" ht="22" customHeight="1">
      <c r="A15" s="28" t="inlineStr"/>
      <c r="B15" s="29" t="inlineStr"/>
      <c r="C15" s="25" t="inlineStr"/>
      <c r="D15" s="25" t="inlineStr">
        <is>
          <t>Inventory Change Net Vol (BBLs)</t>
        </is>
      </c>
      <c r="E15" s="23" t="inlineStr">
        <is>
          <t>P</t>
        </is>
      </c>
      <c r="F15" s="26">
        <f>'Daily Inventory (Live Formulas)'!P4+'Daily Inventory (Live Formulas)'!P5</f>
        <v/>
      </c>
      <c r="G15" s="27" t="inlineStr">
        <is>
          <t>SUM</t>
        </is>
      </c>
      <c r="H15" s="25" t="inlineStr"/>
    </row>
    <row r="16" ht="22" customHeight="1">
      <c r="A16" s="7" t="n">
        <v>2</v>
      </c>
      <c r="B16" s="5" t="inlineStr">
        <is>
          <t>Acc_84RegSuboctane</t>
        </is>
      </c>
      <c r="C16" s="6" t="inlineStr">
        <is>
          <t>84 Regular Suboctane CBG AZ</t>
        </is>
      </c>
      <c r="D16" s="6" t="inlineStr">
        <is>
          <t>Opening Net Volume (BBLs)</t>
        </is>
      </c>
      <c r="E16" s="7" t="inlineStr">
        <is>
          <t>E</t>
        </is>
      </c>
      <c r="F16" s="26">
        <f>'Daily Inventory (Live Formulas)'!E8</f>
        <v/>
      </c>
      <c r="G16" s="27" t="inlineStr">
        <is>
          <t>SUM</t>
        </is>
      </c>
      <c r="H16" s="6" t="inlineStr">
        <is>
          <t>TK53</t>
        </is>
      </c>
    </row>
    <row r="17" ht="22" customHeight="1">
      <c r="A17" s="34" t="inlineStr"/>
      <c r="B17" s="4" t="inlineStr"/>
      <c r="C17" s="6" t="inlineStr"/>
      <c r="D17" s="6" t="inlineStr">
        <is>
          <t>Opening Gravity</t>
        </is>
      </c>
      <c r="E17" s="7" t="inlineStr">
        <is>
          <t>F</t>
        </is>
      </c>
      <c r="F17" s="30">
        <f>AVERAGE('Daily Inventory (Live Formulas)'!F8)</f>
        <v/>
      </c>
      <c r="G17" s="31" t="inlineStr">
        <is>
          <t>AVERAGE</t>
        </is>
      </c>
      <c r="H17" s="6" t="inlineStr"/>
    </row>
    <row r="18" ht="22" customHeight="1">
      <c r="A18" s="34" t="inlineStr"/>
      <c r="B18" s="4" t="inlineStr"/>
      <c r="C18" s="6" t="inlineStr"/>
      <c r="D18" s="6" t="inlineStr">
        <is>
          <t>Closing Net Volume (BBLs)</t>
        </is>
      </c>
      <c r="E18" s="7" t="inlineStr">
        <is>
          <t>G</t>
        </is>
      </c>
      <c r="F18" s="26">
        <f>'Daily Inventory (Live Formulas)'!G8</f>
        <v/>
      </c>
      <c r="G18" s="27" t="inlineStr">
        <is>
          <t>SUM</t>
        </is>
      </c>
      <c r="H18" s="6" t="inlineStr"/>
    </row>
    <row r="19" ht="22" customHeight="1">
      <c r="A19" s="34" t="inlineStr"/>
      <c r="B19" s="4" t="inlineStr"/>
      <c r="C19" s="6" t="inlineStr"/>
      <c r="D19" s="6" t="inlineStr">
        <is>
          <t>Closing Gross Volume (BBLs)</t>
        </is>
      </c>
      <c r="E19" s="7" t="inlineStr">
        <is>
          <t>H</t>
        </is>
      </c>
      <c r="F19" s="26">
        <f>'Daily Inventory (Live Formulas)'!H8</f>
        <v/>
      </c>
      <c r="G19" s="27" t="inlineStr">
        <is>
          <t>SUM</t>
        </is>
      </c>
      <c r="H19" s="6" t="inlineStr"/>
    </row>
    <row r="20" ht="22" customHeight="1">
      <c r="A20" s="34" t="inlineStr"/>
      <c r="B20" s="4" t="inlineStr"/>
      <c r="C20" s="6" t="inlineStr"/>
      <c r="D20" s="6" t="inlineStr">
        <is>
          <t>Level Feet</t>
        </is>
      </c>
      <c r="E20" s="7" t="inlineStr">
        <is>
          <t>I</t>
        </is>
      </c>
      <c r="F20" s="32">
        <f>"'Daily Inventory (Live Formulas)'!I8 — Raw data, no formula"</f>
        <v/>
      </c>
      <c r="G20" s="33" t="inlineStr">
        <is>
          <t>Raw Data</t>
        </is>
      </c>
      <c r="H20" s="6" t="inlineStr"/>
    </row>
    <row r="21" ht="22" customHeight="1">
      <c r="A21" s="34" t="inlineStr"/>
      <c r="B21" s="4" t="inlineStr"/>
      <c r="C21" s="6" t="inlineStr"/>
      <c r="D21" s="6" t="inlineStr">
        <is>
          <t>Gravity (Closing)</t>
        </is>
      </c>
      <c r="E21" s="7" t="inlineStr">
        <is>
          <t>J</t>
        </is>
      </c>
      <c r="F21" s="30">
        <f>AVERAGE('Daily Inventory (Live Formulas)'!J8)</f>
        <v/>
      </c>
      <c r="G21" s="31" t="inlineStr">
        <is>
          <t>AVERAGE</t>
        </is>
      </c>
      <c r="H21" s="6" t="inlineStr"/>
    </row>
    <row r="22" ht="22" customHeight="1">
      <c r="A22" s="34" t="inlineStr"/>
      <c r="B22" s="4" t="inlineStr"/>
      <c r="C22" s="6" t="inlineStr"/>
      <c r="D22" s="6" t="inlineStr">
        <is>
          <t>Temperature</t>
        </is>
      </c>
      <c r="E22" s="7" t="inlineStr">
        <is>
          <t>K</t>
        </is>
      </c>
      <c r="F22" s="32">
        <f>"'Daily Inventory (Live Formulas)'!K8 — Raw data, no formula"</f>
        <v/>
      </c>
      <c r="G22" s="33" t="inlineStr">
        <is>
          <t>Raw Data</t>
        </is>
      </c>
      <c r="H22" s="6" t="inlineStr"/>
    </row>
    <row r="23" ht="22" customHeight="1">
      <c r="A23" s="34" t="inlineStr"/>
      <c r="B23" s="4" t="inlineStr"/>
      <c r="C23" s="6" t="inlineStr"/>
      <c r="D23" s="6" t="inlineStr">
        <is>
          <t>Total Water (BBLs)</t>
        </is>
      </c>
      <c r="E23" s="7" t="inlineStr">
        <is>
          <t>L</t>
        </is>
      </c>
      <c r="F23" s="26">
        <f>'Daily Inventory (Live Formulas)'!L8</f>
        <v/>
      </c>
      <c r="G23" s="27" t="inlineStr">
        <is>
          <t>SUM</t>
        </is>
      </c>
      <c r="H23" s="6" t="inlineStr"/>
    </row>
    <row r="24" ht="22" customHeight="1">
      <c r="A24" s="34" t="inlineStr"/>
      <c r="B24" s="4" t="inlineStr"/>
      <c r="C24" s="6" t="inlineStr"/>
      <c r="D24" s="6" t="inlineStr">
        <is>
          <t>BSW Feet</t>
        </is>
      </c>
      <c r="E24" s="7" t="inlineStr">
        <is>
          <t>M</t>
        </is>
      </c>
      <c r="F24" s="32">
        <f>"'Daily Inventory (Live Formulas)'!M8 — Raw data, no formula"</f>
        <v/>
      </c>
      <c r="G24" s="33" t="inlineStr">
        <is>
          <t>Raw Data</t>
        </is>
      </c>
      <c r="H24" s="6" t="inlineStr"/>
    </row>
    <row r="25" ht="22" customHeight="1">
      <c r="A25" s="34" t="inlineStr"/>
      <c r="B25" s="4" t="inlineStr"/>
      <c r="C25" s="6" t="inlineStr"/>
      <c r="D25" s="6" t="inlineStr">
        <is>
          <t>Volume of Available Product (BBLs)</t>
        </is>
      </c>
      <c r="E25" s="7" t="inlineStr">
        <is>
          <t>N</t>
        </is>
      </c>
      <c r="F25" s="26">
        <f>'Daily Inventory (Live Formulas)'!N8</f>
        <v/>
      </c>
      <c r="G25" s="27" t="inlineStr">
        <is>
          <t>SUM</t>
        </is>
      </c>
      <c r="H25" s="6" t="inlineStr"/>
    </row>
    <row r="26" ht="22" customHeight="1">
      <c r="A26" s="34" t="inlineStr"/>
      <c r="B26" s="4" t="inlineStr"/>
      <c r="C26" s="6" t="inlineStr"/>
      <c r="D26" s="6" t="inlineStr">
        <is>
          <t>Remaining Capacity (BBLs)</t>
        </is>
      </c>
      <c r="E26" s="7" t="inlineStr">
        <is>
          <t>O</t>
        </is>
      </c>
      <c r="F26" s="26">
        <f>'Daily Inventory (Live Formulas)'!O8</f>
        <v/>
      </c>
      <c r="G26" s="27" t="inlineStr">
        <is>
          <t>SUM</t>
        </is>
      </c>
      <c r="H26" s="6" t="inlineStr"/>
    </row>
    <row r="27" ht="22" customHeight="1">
      <c r="A27" s="34" t="inlineStr"/>
      <c r="B27" s="4" t="inlineStr"/>
      <c r="C27" s="6" t="inlineStr"/>
      <c r="D27" s="6" t="inlineStr">
        <is>
          <t>Inventory Change Net Vol (BBLs)</t>
        </is>
      </c>
      <c r="E27" s="7" t="inlineStr">
        <is>
          <t>P</t>
        </is>
      </c>
      <c r="F27" s="26">
        <f>'Daily Inventory (Live Formulas)'!P8</f>
        <v/>
      </c>
      <c r="G27" s="27" t="inlineStr">
        <is>
          <t>SUM</t>
        </is>
      </c>
      <c r="H27" s="6" t="inlineStr"/>
    </row>
    <row r="28" ht="22" customHeight="1">
      <c r="A28" s="23" t="n">
        <v>3</v>
      </c>
      <c r="B28" s="24" t="inlineStr">
        <is>
          <t>Acc_84RegularCARBOB</t>
        </is>
      </c>
      <c r="C28" s="25" t="inlineStr">
        <is>
          <t>84 Regular CARBOB</t>
        </is>
      </c>
      <c r="D28" s="25" t="inlineStr">
        <is>
          <t>Opening Net Volume (BBLs)</t>
        </is>
      </c>
      <c r="E28" s="23" t="inlineStr">
        <is>
          <t>E</t>
        </is>
      </c>
      <c r="F28" s="26">
        <f>'Daily Inventory (Live Formulas)'!E11+'Daily Inventory (Live Formulas)'!E12+'Daily Inventory (Live Formulas)'!E13+'Daily Inventory (Live Formulas)'!E14+'Daily Inventory (Live Formulas)'!E15</f>
        <v/>
      </c>
      <c r="G28" s="27" t="inlineStr">
        <is>
          <t>SUM</t>
        </is>
      </c>
      <c r="H28" s="25" t="inlineStr">
        <is>
          <t>TK41, TK50, TK54, TK55, TK65</t>
        </is>
      </c>
    </row>
    <row r="29" ht="22" customHeight="1">
      <c r="A29" s="28" t="inlineStr"/>
      <c r="B29" s="29" t="inlineStr"/>
      <c r="C29" s="25" t="inlineStr"/>
      <c r="D29" s="25" t="inlineStr">
        <is>
          <t>Opening Gravity</t>
        </is>
      </c>
      <c r="E29" s="23" t="inlineStr">
        <is>
          <t>F</t>
        </is>
      </c>
      <c r="F29" s="30">
        <f>AVERAGE('Daily Inventory (Live Formulas)'!F11,'Daily Inventory (Live Formulas)'!F12,'Daily Inventory (Live Formulas)'!F13,'Daily Inventory (Live Formulas)'!F14,'Daily Inventory (Live Formulas)'!F15)</f>
        <v/>
      </c>
      <c r="G29" s="31" t="inlineStr">
        <is>
          <t>AVERAGE</t>
        </is>
      </c>
      <c r="H29" s="25" t="inlineStr"/>
    </row>
    <row r="30" ht="22" customHeight="1">
      <c r="A30" s="28" t="inlineStr"/>
      <c r="B30" s="29" t="inlineStr"/>
      <c r="C30" s="25" t="inlineStr"/>
      <c r="D30" s="25" t="inlineStr">
        <is>
          <t>Closing Net Volume (BBLs)</t>
        </is>
      </c>
      <c r="E30" s="23" t="inlineStr">
        <is>
          <t>G</t>
        </is>
      </c>
      <c r="F30" s="26">
        <f>'Daily Inventory (Live Formulas)'!G11+'Daily Inventory (Live Formulas)'!G12+'Daily Inventory (Live Formulas)'!G13+'Daily Inventory (Live Formulas)'!G14+'Daily Inventory (Live Formulas)'!G15</f>
        <v/>
      </c>
      <c r="G30" s="27" t="inlineStr">
        <is>
          <t>SUM</t>
        </is>
      </c>
      <c r="H30" s="25" t="inlineStr"/>
    </row>
    <row r="31" ht="22" customHeight="1">
      <c r="A31" s="28" t="inlineStr"/>
      <c r="B31" s="29" t="inlineStr"/>
      <c r="C31" s="25" t="inlineStr"/>
      <c r="D31" s="25" t="inlineStr">
        <is>
          <t>Closing Gross Volume (BBLs)</t>
        </is>
      </c>
      <c r="E31" s="23" t="inlineStr">
        <is>
          <t>H</t>
        </is>
      </c>
      <c r="F31" s="26">
        <f>'Daily Inventory (Live Formulas)'!H11+'Daily Inventory (Live Formulas)'!H12+'Daily Inventory (Live Formulas)'!H13+'Daily Inventory (Live Formulas)'!H14+'Daily Inventory (Live Formulas)'!H15</f>
        <v/>
      </c>
      <c r="G31" s="27" t="inlineStr">
        <is>
          <t>SUM</t>
        </is>
      </c>
      <c r="H31" s="25" t="inlineStr"/>
    </row>
    <row r="32" ht="22" customHeight="1">
      <c r="A32" s="28" t="inlineStr"/>
      <c r="B32" s="29" t="inlineStr"/>
      <c r="C32" s="25" t="inlineStr"/>
      <c r="D32" s="25" t="inlineStr">
        <is>
          <t>Level Feet</t>
        </is>
      </c>
      <c r="E32" s="23" t="inlineStr">
        <is>
          <t>I</t>
        </is>
      </c>
      <c r="F32" s="32">
        <f>"'Daily Inventory (Live Formulas)'!I11 — Raw data, no formula"</f>
        <v/>
      </c>
      <c r="G32" s="33" t="inlineStr">
        <is>
          <t>Raw Data</t>
        </is>
      </c>
      <c r="H32" s="25" t="inlineStr"/>
    </row>
    <row r="33" ht="22" customHeight="1">
      <c r="A33" s="28" t="inlineStr"/>
      <c r="B33" s="29" t="inlineStr"/>
      <c r="C33" s="25" t="inlineStr"/>
      <c r="D33" s="25" t="inlineStr">
        <is>
          <t>Gravity (Closing)</t>
        </is>
      </c>
      <c r="E33" s="23" t="inlineStr">
        <is>
          <t>J</t>
        </is>
      </c>
      <c r="F33" s="30">
        <f>AVERAGE('Daily Inventory (Live Formulas)'!J11,'Daily Inventory (Live Formulas)'!J12,'Daily Inventory (Live Formulas)'!J13,'Daily Inventory (Live Formulas)'!J14,'Daily Inventory (Live Formulas)'!J15)</f>
        <v/>
      </c>
      <c r="G33" s="31" t="inlineStr">
        <is>
          <t>AVERAGE</t>
        </is>
      </c>
      <c r="H33" s="25" t="inlineStr"/>
    </row>
    <row r="34" ht="22" customHeight="1">
      <c r="A34" s="28" t="inlineStr"/>
      <c r="B34" s="29" t="inlineStr"/>
      <c r="C34" s="25" t="inlineStr"/>
      <c r="D34" s="25" t="inlineStr">
        <is>
          <t>Temperature</t>
        </is>
      </c>
      <c r="E34" s="23" t="inlineStr">
        <is>
          <t>K</t>
        </is>
      </c>
      <c r="F34" s="32">
        <f>"'Daily Inventory (Live Formulas)'!K11 — Raw data, no formula"</f>
        <v/>
      </c>
      <c r="G34" s="33" t="inlineStr">
        <is>
          <t>Raw Data</t>
        </is>
      </c>
      <c r="H34" s="25" t="inlineStr"/>
    </row>
    <row r="35" ht="22" customHeight="1">
      <c r="A35" s="28" t="inlineStr"/>
      <c r="B35" s="29" t="inlineStr"/>
      <c r="C35" s="25" t="inlineStr"/>
      <c r="D35" s="25" t="inlineStr">
        <is>
          <t>Total Water (BBLs)</t>
        </is>
      </c>
      <c r="E35" s="23" t="inlineStr">
        <is>
          <t>L</t>
        </is>
      </c>
      <c r="F35" s="26">
        <f>'Daily Inventory (Live Formulas)'!L11+'Daily Inventory (Live Formulas)'!L12+'Daily Inventory (Live Formulas)'!L13+'Daily Inventory (Live Formulas)'!L14+'Daily Inventory (Live Formulas)'!L15</f>
        <v/>
      </c>
      <c r="G35" s="27" t="inlineStr">
        <is>
          <t>SUM</t>
        </is>
      </c>
      <c r="H35" s="25" t="inlineStr"/>
    </row>
    <row r="36" ht="22" customHeight="1">
      <c r="A36" s="28" t="inlineStr"/>
      <c r="B36" s="29" t="inlineStr"/>
      <c r="C36" s="25" t="inlineStr"/>
      <c r="D36" s="25" t="inlineStr">
        <is>
          <t>BSW Feet</t>
        </is>
      </c>
      <c r="E36" s="23" t="inlineStr">
        <is>
          <t>M</t>
        </is>
      </c>
      <c r="F36" s="32">
        <f>"'Daily Inventory (Live Formulas)'!M11 — Raw data, no formula"</f>
        <v/>
      </c>
      <c r="G36" s="33" t="inlineStr">
        <is>
          <t>Raw Data</t>
        </is>
      </c>
      <c r="H36" s="25" t="inlineStr"/>
    </row>
    <row r="37" ht="22" customHeight="1">
      <c r="A37" s="28" t="inlineStr"/>
      <c r="B37" s="29" t="inlineStr"/>
      <c r="C37" s="25" t="inlineStr"/>
      <c r="D37" s="25" t="inlineStr">
        <is>
          <t>Volume of Available Product (BBLs)</t>
        </is>
      </c>
      <c r="E37" s="23" t="inlineStr">
        <is>
          <t>N</t>
        </is>
      </c>
      <c r="F37" s="26">
        <f>'Daily Inventory (Live Formulas)'!N11+'Daily Inventory (Live Formulas)'!N12+'Daily Inventory (Live Formulas)'!N13+'Daily Inventory (Live Formulas)'!N14+'Daily Inventory (Live Formulas)'!N15</f>
        <v/>
      </c>
      <c r="G37" s="27" t="inlineStr">
        <is>
          <t>SUM</t>
        </is>
      </c>
      <c r="H37" s="25" t="inlineStr"/>
    </row>
    <row r="38" ht="22" customHeight="1">
      <c r="A38" s="28" t="inlineStr"/>
      <c r="B38" s="29" t="inlineStr"/>
      <c r="C38" s="25" t="inlineStr"/>
      <c r="D38" s="25" t="inlineStr">
        <is>
          <t>Remaining Capacity (BBLs)</t>
        </is>
      </c>
      <c r="E38" s="23" t="inlineStr">
        <is>
          <t>O</t>
        </is>
      </c>
      <c r="F38" s="26">
        <f>'Daily Inventory (Live Formulas)'!O11+'Daily Inventory (Live Formulas)'!O12+'Daily Inventory (Live Formulas)'!O13+'Daily Inventory (Live Formulas)'!O14+'Daily Inventory (Live Formulas)'!O15</f>
        <v/>
      </c>
      <c r="G38" s="27" t="inlineStr">
        <is>
          <t>SUM</t>
        </is>
      </c>
      <c r="H38" s="25" t="inlineStr"/>
    </row>
    <row r="39" ht="22" customHeight="1">
      <c r="A39" s="28" t="inlineStr"/>
      <c r="B39" s="29" t="inlineStr"/>
      <c r="C39" s="25" t="inlineStr"/>
      <c r="D39" s="25" t="inlineStr">
        <is>
          <t>Inventory Change Net Vol (BBLs)</t>
        </is>
      </c>
      <c r="E39" s="23" t="inlineStr">
        <is>
          <t>P</t>
        </is>
      </c>
      <c r="F39" s="26">
        <f>'Daily Inventory (Live Formulas)'!P11+'Daily Inventory (Live Formulas)'!P12+'Daily Inventory (Live Formulas)'!P13+'Daily Inventory (Live Formulas)'!P14+'Daily Inventory (Live Formulas)'!P15</f>
        <v/>
      </c>
      <c r="G39" s="27" t="inlineStr">
        <is>
          <t>SUM</t>
        </is>
      </c>
      <c r="H39" s="25" t="inlineStr"/>
    </row>
    <row r="40" ht="22" customHeight="1">
      <c r="A40" s="7" t="n">
        <v>4</v>
      </c>
      <c r="B40" s="5" t="inlineStr">
        <is>
          <t>Acc_89PremiumCARB</t>
        </is>
      </c>
      <c r="C40" s="6" t="inlineStr">
        <is>
          <t>89 Premium CARBOB</t>
        </is>
      </c>
      <c r="D40" s="6" t="inlineStr">
        <is>
          <t>Opening Net Volume (BBLs)</t>
        </is>
      </c>
      <c r="E40" s="7" t="inlineStr">
        <is>
          <t>E</t>
        </is>
      </c>
      <c r="F40" s="26">
        <f>'Daily Inventory (Live Formulas)'!E18+'Daily Inventory (Live Formulas)'!E19</f>
        <v/>
      </c>
      <c r="G40" s="27" t="inlineStr">
        <is>
          <t>SUM</t>
        </is>
      </c>
      <c r="H40" s="6" t="inlineStr">
        <is>
          <t>TK45, TK52</t>
        </is>
      </c>
    </row>
    <row r="41" ht="22" customHeight="1">
      <c r="A41" s="34" t="inlineStr"/>
      <c r="B41" s="4" t="inlineStr"/>
      <c r="C41" s="6" t="inlineStr"/>
      <c r="D41" s="6" t="inlineStr">
        <is>
          <t>Opening Gravity</t>
        </is>
      </c>
      <c r="E41" s="7" t="inlineStr">
        <is>
          <t>F</t>
        </is>
      </c>
      <c r="F41" s="30">
        <f>AVERAGE('Daily Inventory (Live Formulas)'!F18,'Daily Inventory (Live Formulas)'!F19)</f>
        <v/>
      </c>
      <c r="G41" s="31" t="inlineStr">
        <is>
          <t>AVERAGE</t>
        </is>
      </c>
      <c r="H41" s="6" t="inlineStr"/>
    </row>
    <row r="42" ht="22" customHeight="1">
      <c r="A42" s="34" t="inlineStr"/>
      <c r="B42" s="4" t="inlineStr"/>
      <c r="C42" s="6" t="inlineStr"/>
      <c r="D42" s="6" t="inlineStr">
        <is>
          <t>Closing Net Volume (BBLs)</t>
        </is>
      </c>
      <c r="E42" s="7" t="inlineStr">
        <is>
          <t>G</t>
        </is>
      </c>
      <c r="F42" s="26">
        <f>'Daily Inventory (Live Formulas)'!G18+'Daily Inventory (Live Formulas)'!G19</f>
        <v/>
      </c>
      <c r="G42" s="27" t="inlineStr">
        <is>
          <t>SUM</t>
        </is>
      </c>
      <c r="H42" s="6" t="inlineStr"/>
    </row>
    <row r="43" ht="22" customHeight="1">
      <c r="A43" s="34" t="inlineStr"/>
      <c r="B43" s="4" t="inlineStr"/>
      <c r="C43" s="6" t="inlineStr"/>
      <c r="D43" s="6" t="inlineStr">
        <is>
          <t>Closing Gross Volume (BBLs)</t>
        </is>
      </c>
      <c r="E43" s="7" t="inlineStr">
        <is>
          <t>H</t>
        </is>
      </c>
      <c r="F43" s="26">
        <f>'Daily Inventory (Live Formulas)'!H18+'Daily Inventory (Live Formulas)'!H19</f>
        <v/>
      </c>
      <c r="G43" s="27" t="inlineStr">
        <is>
          <t>SUM</t>
        </is>
      </c>
      <c r="H43" s="6" t="inlineStr"/>
    </row>
    <row r="44" ht="22" customHeight="1">
      <c r="A44" s="34" t="inlineStr"/>
      <c r="B44" s="4" t="inlineStr"/>
      <c r="C44" s="6" t="inlineStr"/>
      <c r="D44" s="6" t="inlineStr">
        <is>
          <t>Level Feet</t>
        </is>
      </c>
      <c r="E44" s="7" t="inlineStr">
        <is>
          <t>I</t>
        </is>
      </c>
      <c r="F44" s="32">
        <f>"'Daily Inventory (Live Formulas)'!I18 — Raw data, no formula"</f>
        <v/>
      </c>
      <c r="G44" s="33" t="inlineStr">
        <is>
          <t>Raw Data</t>
        </is>
      </c>
      <c r="H44" s="6" t="inlineStr"/>
    </row>
    <row r="45" ht="22" customHeight="1">
      <c r="A45" s="34" t="inlineStr"/>
      <c r="B45" s="4" t="inlineStr"/>
      <c r="C45" s="6" t="inlineStr"/>
      <c r="D45" s="6" t="inlineStr">
        <is>
          <t>Gravity (Closing)</t>
        </is>
      </c>
      <c r="E45" s="7" t="inlineStr">
        <is>
          <t>J</t>
        </is>
      </c>
      <c r="F45" s="30">
        <f>AVERAGE('Daily Inventory (Live Formulas)'!J18,'Daily Inventory (Live Formulas)'!J19)</f>
        <v/>
      </c>
      <c r="G45" s="31" t="inlineStr">
        <is>
          <t>AVERAGE</t>
        </is>
      </c>
      <c r="H45" s="6" t="inlineStr"/>
    </row>
    <row r="46" ht="22" customHeight="1">
      <c r="A46" s="34" t="inlineStr"/>
      <c r="B46" s="4" t="inlineStr"/>
      <c r="C46" s="6" t="inlineStr"/>
      <c r="D46" s="6" t="inlineStr">
        <is>
          <t>Temperature</t>
        </is>
      </c>
      <c r="E46" s="7" t="inlineStr">
        <is>
          <t>K</t>
        </is>
      </c>
      <c r="F46" s="32">
        <f>"'Daily Inventory (Live Formulas)'!K18 — Raw data, no formula"</f>
        <v/>
      </c>
      <c r="G46" s="33" t="inlineStr">
        <is>
          <t>Raw Data</t>
        </is>
      </c>
      <c r="H46" s="6" t="inlineStr"/>
    </row>
    <row r="47" ht="22" customHeight="1">
      <c r="A47" s="34" t="inlineStr"/>
      <c r="B47" s="4" t="inlineStr"/>
      <c r="C47" s="6" t="inlineStr"/>
      <c r="D47" s="6" t="inlineStr">
        <is>
          <t>Total Water (BBLs)</t>
        </is>
      </c>
      <c r="E47" s="7" t="inlineStr">
        <is>
          <t>L</t>
        </is>
      </c>
      <c r="F47" s="26">
        <f>'Daily Inventory (Live Formulas)'!L18+'Daily Inventory (Live Formulas)'!L19</f>
        <v/>
      </c>
      <c r="G47" s="27" t="inlineStr">
        <is>
          <t>SUM</t>
        </is>
      </c>
      <c r="H47" s="6" t="inlineStr"/>
    </row>
    <row r="48" ht="22" customHeight="1">
      <c r="A48" s="34" t="inlineStr"/>
      <c r="B48" s="4" t="inlineStr"/>
      <c r="C48" s="6" t="inlineStr"/>
      <c r="D48" s="6" t="inlineStr">
        <is>
          <t>BSW Feet</t>
        </is>
      </c>
      <c r="E48" s="7" t="inlineStr">
        <is>
          <t>M</t>
        </is>
      </c>
      <c r="F48" s="32">
        <f>"'Daily Inventory (Live Formulas)'!M18 — Raw data, no formula"</f>
        <v/>
      </c>
      <c r="G48" s="33" t="inlineStr">
        <is>
          <t>Raw Data</t>
        </is>
      </c>
      <c r="H48" s="6" t="inlineStr"/>
    </row>
    <row r="49" ht="22" customHeight="1">
      <c r="A49" s="34" t="inlineStr"/>
      <c r="B49" s="4" t="inlineStr"/>
      <c r="C49" s="6" t="inlineStr"/>
      <c r="D49" s="6" t="inlineStr">
        <is>
          <t>Volume of Available Product (BBLs)</t>
        </is>
      </c>
      <c r="E49" s="7" t="inlineStr">
        <is>
          <t>N</t>
        </is>
      </c>
      <c r="F49" s="26">
        <f>'Daily Inventory (Live Formulas)'!N18+'Daily Inventory (Live Formulas)'!N19</f>
        <v/>
      </c>
      <c r="G49" s="27" t="inlineStr">
        <is>
          <t>SUM</t>
        </is>
      </c>
      <c r="H49" s="6" t="inlineStr"/>
    </row>
    <row r="50" ht="22" customHeight="1">
      <c r="A50" s="34" t="inlineStr"/>
      <c r="B50" s="4" t="inlineStr"/>
      <c r="C50" s="6" t="inlineStr"/>
      <c r="D50" s="6" t="inlineStr">
        <is>
          <t>Remaining Capacity (BBLs)</t>
        </is>
      </c>
      <c r="E50" s="7" t="inlineStr">
        <is>
          <t>O</t>
        </is>
      </c>
      <c r="F50" s="26">
        <f>'Daily Inventory (Live Formulas)'!O18+'Daily Inventory (Live Formulas)'!O19</f>
        <v/>
      </c>
      <c r="G50" s="27" t="inlineStr">
        <is>
          <t>SUM</t>
        </is>
      </c>
      <c r="H50" s="6" t="inlineStr"/>
    </row>
    <row r="51" ht="22" customHeight="1">
      <c r="A51" s="34" t="inlineStr"/>
      <c r="B51" s="4" t="inlineStr"/>
      <c r="C51" s="6" t="inlineStr"/>
      <c r="D51" s="6" t="inlineStr">
        <is>
          <t>Inventory Change Net Vol (BBLs)</t>
        </is>
      </c>
      <c r="E51" s="7" t="inlineStr">
        <is>
          <t>P</t>
        </is>
      </c>
      <c r="F51" s="26">
        <f>'Daily Inventory (Live Formulas)'!P18+'Daily Inventory (Live Formulas)'!P19</f>
        <v/>
      </c>
      <c r="G51" s="27" t="inlineStr">
        <is>
          <t>SUM</t>
        </is>
      </c>
      <c r="H51" s="6" t="inlineStr"/>
    </row>
    <row r="52" ht="22" customHeight="1">
      <c r="A52" s="23" t="n">
        <v>5</v>
      </c>
      <c r="B52" s="24" t="inlineStr">
        <is>
          <t>Acc_AlkyFeed</t>
        </is>
      </c>
      <c r="C52" s="25" t="inlineStr">
        <is>
          <t>Alky Feed</t>
        </is>
      </c>
      <c r="D52" s="25" t="inlineStr">
        <is>
          <t>Opening Net Volume (BBLs)</t>
        </is>
      </c>
      <c r="E52" s="23" t="inlineStr">
        <is>
          <t>E</t>
        </is>
      </c>
      <c r="F52" s="26">
        <f>'Daily Inventory (Live Formulas)'!E22+'Daily Inventory (Live Formulas)'!E23+'Daily Inventory (Live Formulas)'!E24</f>
        <v/>
      </c>
      <c r="G52" s="27" t="inlineStr">
        <is>
          <t>SUM</t>
        </is>
      </c>
      <c r="H52" s="25" t="inlineStr">
        <is>
          <t>TK682, TK76, TK78</t>
        </is>
      </c>
    </row>
    <row r="53" ht="22" customHeight="1">
      <c r="A53" s="28" t="inlineStr"/>
      <c r="B53" s="29" t="inlineStr"/>
      <c r="C53" s="25" t="inlineStr"/>
      <c r="D53" s="25" t="inlineStr">
        <is>
          <t>Opening Gravity</t>
        </is>
      </c>
      <c r="E53" s="23" t="inlineStr">
        <is>
          <t>F</t>
        </is>
      </c>
      <c r="F53" s="30">
        <f>AVERAGE('Daily Inventory (Live Formulas)'!F22,'Daily Inventory (Live Formulas)'!F23,'Daily Inventory (Live Formulas)'!F24)</f>
        <v/>
      </c>
      <c r="G53" s="31" t="inlineStr">
        <is>
          <t>AVERAGE</t>
        </is>
      </c>
      <c r="H53" s="25" t="inlineStr"/>
    </row>
    <row r="54" ht="22" customHeight="1">
      <c r="A54" s="28" t="inlineStr"/>
      <c r="B54" s="29" t="inlineStr"/>
      <c r="C54" s="25" t="inlineStr"/>
      <c r="D54" s="25" t="inlineStr">
        <is>
          <t>Closing Net Volume (BBLs)</t>
        </is>
      </c>
      <c r="E54" s="23" t="inlineStr">
        <is>
          <t>G</t>
        </is>
      </c>
      <c r="F54" s="26">
        <f>'Daily Inventory (Live Formulas)'!G22+'Daily Inventory (Live Formulas)'!G23+'Daily Inventory (Live Formulas)'!G24</f>
        <v/>
      </c>
      <c r="G54" s="27" t="inlineStr">
        <is>
          <t>SUM</t>
        </is>
      </c>
      <c r="H54" s="25" t="inlineStr"/>
    </row>
    <row r="55" ht="22" customHeight="1">
      <c r="A55" s="28" t="inlineStr"/>
      <c r="B55" s="29" t="inlineStr"/>
      <c r="C55" s="25" t="inlineStr"/>
      <c r="D55" s="25" t="inlineStr">
        <is>
          <t>Closing Gross Volume (BBLs)</t>
        </is>
      </c>
      <c r="E55" s="23" t="inlineStr">
        <is>
          <t>H</t>
        </is>
      </c>
      <c r="F55" s="26">
        <f>'Daily Inventory (Live Formulas)'!H22+'Daily Inventory (Live Formulas)'!H23+'Daily Inventory (Live Formulas)'!H24</f>
        <v/>
      </c>
      <c r="G55" s="27" t="inlineStr">
        <is>
          <t>SUM</t>
        </is>
      </c>
      <c r="H55" s="25" t="inlineStr"/>
    </row>
    <row r="56" ht="22" customHeight="1">
      <c r="A56" s="28" t="inlineStr"/>
      <c r="B56" s="29" t="inlineStr"/>
      <c r="C56" s="25" t="inlineStr"/>
      <c r="D56" s="25" t="inlineStr">
        <is>
          <t>Level Feet</t>
        </is>
      </c>
      <c r="E56" s="23" t="inlineStr">
        <is>
          <t>I</t>
        </is>
      </c>
      <c r="F56" s="32">
        <f>"'Daily Inventory (Live Formulas)'!I22 — Raw data, no formula"</f>
        <v/>
      </c>
      <c r="G56" s="33" t="inlineStr">
        <is>
          <t>Raw Data</t>
        </is>
      </c>
      <c r="H56" s="25" t="inlineStr"/>
    </row>
    <row r="57" ht="22" customHeight="1">
      <c r="A57" s="28" t="inlineStr"/>
      <c r="B57" s="29" t="inlineStr"/>
      <c r="C57" s="25" t="inlineStr"/>
      <c r="D57" s="25" t="inlineStr">
        <is>
          <t>Gravity (Closing)</t>
        </is>
      </c>
      <c r="E57" s="23" t="inlineStr">
        <is>
          <t>J</t>
        </is>
      </c>
      <c r="F57" s="30">
        <f>AVERAGE('Daily Inventory (Live Formulas)'!J22,'Daily Inventory (Live Formulas)'!J23,'Daily Inventory (Live Formulas)'!J24)</f>
        <v/>
      </c>
      <c r="G57" s="31" t="inlineStr">
        <is>
          <t>AVERAGE</t>
        </is>
      </c>
      <c r="H57" s="25" t="inlineStr"/>
    </row>
    <row r="58" ht="22" customHeight="1">
      <c r="A58" s="28" t="inlineStr"/>
      <c r="B58" s="29" t="inlineStr"/>
      <c r="C58" s="25" t="inlineStr"/>
      <c r="D58" s="25" t="inlineStr">
        <is>
          <t>Temperature</t>
        </is>
      </c>
      <c r="E58" s="23" t="inlineStr">
        <is>
          <t>K</t>
        </is>
      </c>
      <c r="F58" s="32">
        <f>"'Daily Inventory (Live Formulas)'!K22 — Raw data, no formula"</f>
        <v/>
      </c>
      <c r="G58" s="33" t="inlineStr">
        <is>
          <t>Raw Data</t>
        </is>
      </c>
      <c r="H58" s="25" t="inlineStr"/>
    </row>
    <row r="59" ht="22" customHeight="1">
      <c r="A59" s="28" t="inlineStr"/>
      <c r="B59" s="29" t="inlineStr"/>
      <c r="C59" s="25" t="inlineStr"/>
      <c r="D59" s="25" t="inlineStr">
        <is>
          <t>Total Water (BBLs)</t>
        </is>
      </c>
      <c r="E59" s="23" t="inlineStr">
        <is>
          <t>L</t>
        </is>
      </c>
      <c r="F59" s="26">
        <f>'Daily Inventory (Live Formulas)'!L22+'Daily Inventory (Live Formulas)'!L23+'Daily Inventory (Live Formulas)'!L24</f>
        <v/>
      </c>
      <c r="G59" s="27" t="inlineStr">
        <is>
          <t>SUM</t>
        </is>
      </c>
      <c r="H59" s="25" t="inlineStr"/>
    </row>
    <row r="60" ht="22" customHeight="1">
      <c r="A60" s="28" t="inlineStr"/>
      <c r="B60" s="29" t="inlineStr"/>
      <c r="C60" s="25" t="inlineStr"/>
      <c r="D60" s="25" t="inlineStr">
        <is>
          <t>BSW Feet</t>
        </is>
      </c>
      <c r="E60" s="23" t="inlineStr">
        <is>
          <t>M</t>
        </is>
      </c>
      <c r="F60" s="32">
        <f>"'Daily Inventory (Live Formulas)'!M22 — Raw data, no formula"</f>
        <v/>
      </c>
      <c r="G60" s="33" t="inlineStr">
        <is>
          <t>Raw Data</t>
        </is>
      </c>
      <c r="H60" s="25" t="inlineStr"/>
    </row>
    <row r="61" ht="22" customHeight="1">
      <c r="A61" s="28" t="inlineStr"/>
      <c r="B61" s="29" t="inlineStr"/>
      <c r="C61" s="25" t="inlineStr"/>
      <c r="D61" s="25" t="inlineStr">
        <is>
          <t>Volume of Available Product (BBLs)</t>
        </is>
      </c>
      <c r="E61" s="23" t="inlineStr">
        <is>
          <t>N</t>
        </is>
      </c>
      <c r="F61" s="26">
        <f>'Daily Inventory (Live Formulas)'!N22+'Daily Inventory (Live Formulas)'!N23+'Daily Inventory (Live Formulas)'!N24</f>
        <v/>
      </c>
      <c r="G61" s="27" t="inlineStr">
        <is>
          <t>SUM</t>
        </is>
      </c>
      <c r="H61" s="25" t="inlineStr"/>
    </row>
    <row r="62" ht="22" customHeight="1">
      <c r="A62" s="28" t="inlineStr"/>
      <c r="B62" s="29" t="inlineStr"/>
      <c r="C62" s="25" t="inlineStr"/>
      <c r="D62" s="25" t="inlineStr">
        <is>
          <t>Remaining Capacity (BBLs)</t>
        </is>
      </c>
      <c r="E62" s="23" t="inlineStr">
        <is>
          <t>O</t>
        </is>
      </c>
      <c r="F62" s="26">
        <f>'Daily Inventory (Live Formulas)'!O22+'Daily Inventory (Live Formulas)'!O23+'Daily Inventory (Live Formulas)'!O24</f>
        <v/>
      </c>
      <c r="G62" s="27" t="inlineStr">
        <is>
          <t>SUM</t>
        </is>
      </c>
      <c r="H62" s="25" t="inlineStr"/>
    </row>
    <row r="63" ht="22" customHeight="1">
      <c r="A63" s="28" t="inlineStr"/>
      <c r="B63" s="29" t="inlineStr"/>
      <c r="C63" s="25" t="inlineStr"/>
      <c r="D63" s="25" t="inlineStr">
        <is>
          <t>Inventory Change Net Vol (BBLs)</t>
        </is>
      </c>
      <c r="E63" s="23" t="inlineStr">
        <is>
          <t>P</t>
        </is>
      </c>
      <c r="F63" s="26">
        <f>'Daily Inventory (Live Formulas)'!P22+'Daily Inventory (Live Formulas)'!P23+'Daily Inventory (Live Formulas)'!P24</f>
        <v/>
      </c>
      <c r="G63" s="27" t="inlineStr">
        <is>
          <t>SUM</t>
        </is>
      </c>
      <c r="H63" s="25" t="inlineStr"/>
    </row>
    <row r="64" ht="22" customHeight="1">
      <c r="A64" s="7" t="n">
        <v>6</v>
      </c>
      <c r="B64" s="5" t="inlineStr">
        <is>
          <t>Acc_Alkylate</t>
        </is>
      </c>
      <c r="C64" s="6" t="inlineStr">
        <is>
          <t>Alkylate</t>
        </is>
      </c>
      <c r="D64" s="6" t="inlineStr">
        <is>
          <t>Opening Net Volume (BBLs)</t>
        </is>
      </c>
      <c r="E64" s="7" t="inlineStr">
        <is>
          <t>E</t>
        </is>
      </c>
      <c r="F64" s="26">
        <f>'Daily Inventory (Live Formulas)'!E27+'Daily Inventory (Live Formulas)'!E28+'Daily Inventory (Live Formulas)'!E29+'Daily Inventory (Live Formulas)'!E30</f>
        <v/>
      </c>
      <c r="G64" s="27" t="inlineStr">
        <is>
          <t>SUM</t>
        </is>
      </c>
      <c r="H64" s="6" t="inlineStr">
        <is>
          <t>LF_005, TK31, TK43, TK64</t>
        </is>
      </c>
    </row>
    <row r="65" ht="22" customHeight="1">
      <c r="A65" s="34" t="inlineStr"/>
      <c r="B65" s="4" t="inlineStr"/>
      <c r="C65" s="6" t="inlineStr"/>
      <c r="D65" s="6" t="inlineStr">
        <is>
          <t>Opening Gravity</t>
        </is>
      </c>
      <c r="E65" s="7" t="inlineStr">
        <is>
          <t>F</t>
        </is>
      </c>
      <c r="F65" s="30">
        <f>AVERAGE('Daily Inventory (Live Formulas)'!F27,'Daily Inventory (Live Formulas)'!F28,'Daily Inventory (Live Formulas)'!F29,'Daily Inventory (Live Formulas)'!F30)</f>
        <v/>
      </c>
      <c r="G65" s="31" t="inlineStr">
        <is>
          <t>AVERAGE</t>
        </is>
      </c>
      <c r="H65" s="6" t="inlineStr"/>
    </row>
    <row r="66" ht="22" customHeight="1">
      <c r="A66" s="34" t="inlineStr"/>
      <c r="B66" s="4" t="inlineStr"/>
      <c r="C66" s="6" t="inlineStr"/>
      <c r="D66" s="6" t="inlineStr">
        <is>
          <t>Closing Net Volume (BBLs)</t>
        </is>
      </c>
      <c r="E66" s="7" t="inlineStr">
        <is>
          <t>G</t>
        </is>
      </c>
      <c r="F66" s="26">
        <f>'Daily Inventory (Live Formulas)'!G27+'Daily Inventory (Live Formulas)'!G28+'Daily Inventory (Live Formulas)'!G29+'Daily Inventory (Live Formulas)'!G30</f>
        <v/>
      </c>
      <c r="G66" s="27" t="inlineStr">
        <is>
          <t>SUM</t>
        </is>
      </c>
      <c r="H66" s="6" t="inlineStr"/>
    </row>
    <row r="67" ht="22" customHeight="1">
      <c r="A67" s="34" t="inlineStr"/>
      <c r="B67" s="4" t="inlineStr"/>
      <c r="C67" s="6" t="inlineStr"/>
      <c r="D67" s="6" t="inlineStr">
        <is>
          <t>Closing Gross Volume (BBLs)</t>
        </is>
      </c>
      <c r="E67" s="7" t="inlineStr">
        <is>
          <t>H</t>
        </is>
      </c>
      <c r="F67" s="26">
        <f>'Daily Inventory (Live Formulas)'!H27+'Daily Inventory (Live Formulas)'!H28+'Daily Inventory (Live Formulas)'!H29+'Daily Inventory (Live Formulas)'!H30</f>
        <v/>
      </c>
      <c r="G67" s="27" t="inlineStr">
        <is>
          <t>SUM</t>
        </is>
      </c>
      <c r="H67" s="6" t="inlineStr"/>
    </row>
    <row r="68" ht="22" customHeight="1">
      <c r="A68" s="34" t="inlineStr"/>
      <c r="B68" s="4" t="inlineStr"/>
      <c r="C68" s="6" t="inlineStr"/>
      <c r="D68" s="6" t="inlineStr">
        <is>
          <t>Level Feet</t>
        </is>
      </c>
      <c r="E68" s="7" t="inlineStr">
        <is>
          <t>I</t>
        </is>
      </c>
      <c r="F68" s="32">
        <f>"'Daily Inventory (Live Formulas)'!I27 — Raw data, no formula"</f>
        <v/>
      </c>
      <c r="G68" s="33" t="inlineStr">
        <is>
          <t>Raw Data</t>
        </is>
      </c>
      <c r="H68" s="6" t="inlineStr"/>
    </row>
    <row r="69" ht="22" customHeight="1">
      <c r="A69" s="34" t="inlineStr"/>
      <c r="B69" s="4" t="inlineStr"/>
      <c r="C69" s="6" t="inlineStr"/>
      <c r="D69" s="6" t="inlineStr">
        <is>
          <t>Gravity (Closing)</t>
        </is>
      </c>
      <c r="E69" s="7" t="inlineStr">
        <is>
          <t>J</t>
        </is>
      </c>
      <c r="F69" s="30">
        <f>AVERAGE('Daily Inventory (Live Formulas)'!J27,'Daily Inventory (Live Formulas)'!J28,'Daily Inventory (Live Formulas)'!J29,'Daily Inventory (Live Formulas)'!J30)</f>
        <v/>
      </c>
      <c r="G69" s="31" t="inlineStr">
        <is>
          <t>AVERAGE</t>
        </is>
      </c>
      <c r="H69" s="6" t="inlineStr"/>
    </row>
    <row r="70" ht="22" customHeight="1">
      <c r="A70" s="34" t="inlineStr"/>
      <c r="B70" s="4" t="inlineStr"/>
      <c r="C70" s="6" t="inlineStr"/>
      <c r="D70" s="6" t="inlineStr">
        <is>
          <t>Temperature</t>
        </is>
      </c>
      <c r="E70" s="7" t="inlineStr">
        <is>
          <t>K</t>
        </is>
      </c>
      <c r="F70" s="32">
        <f>"'Daily Inventory (Live Formulas)'!K27 — Raw data, no formula"</f>
        <v/>
      </c>
      <c r="G70" s="33" t="inlineStr">
        <is>
          <t>Raw Data</t>
        </is>
      </c>
      <c r="H70" s="6" t="inlineStr"/>
    </row>
    <row r="71" ht="22" customHeight="1">
      <c r="A71" s="34" t="inlineStr"/>
      <c r="B71" s="4" t="inlineStr"/>
      <c r="C71" s="6" t="inlineStr"/>
      <c r="D71" s="6" t="inlineStr">
        <is>
          <t>Total Water (BBLs)</t>
        </is>
      </c>
      <c r="E71" s="7" t="inlineStr">
        <is>
          <t>L</t>
        </is>
      </c>
      <c r="F71" s="26">
        <f>'Daily Inventory (Live Formulas)'!L27+'Daily Inventory (Live Formulas)'!L28+'Daily Inventory (Live Formulas)'!L29+'Daily Inventory (Live Formulas)'!L30</f>
        <v/>
      </c>
      <c r="G71" s="27" t="inlineStr">
        <is>
          <t>SUM</t>
        </is>
      </c>
      <c r="H71" s="6" t="inlineStr"/>
    </row>
    <row r="72" ht="22" customHeight="1">
      <c r="A72" s="34" t="inlineStr"/>
      <c r="B72" s="4" t="inlineStr"/>
      <c r="C72" s="6" t="inlineStr"/>
      <c r="D72" s="6" t="inlineStr">
        <is>
          <t>BSW Feet</t>
        </is>
      </c>
      <c r="E72" s="7" t="inlineStr">
        <is>
          <t>M</t>
        </is>
      </c>
      <c r="F72" s="32">
        <f>"'Daily Inventory (Live Formulas)'!M27 — Raw data, no formula"</f>
        <v/>
      </c>
      <c r="G72" s="33" t="inlineStr">
        <is>
          <t>Raw Data</t>
        </is>
      </c>
      <c r="H72" s="6" t="inlineStr"/>
    </row>
    <row r="73" ht="22" customHeight="1">
      <c r="A73" s="34" t="inlineStr"/>
      <c r="B73" s="4" t="inlineStr"/>
      <c r="C73" s="6" t="inlineStr"/>
      <c r="D73" s="6" t="inlineStr">
        <is>
          <t>Volume of Available Product (BBLs)</t>
        </is>
      </c>
      <c r="E73" s="7" t="inlineStr">
        <is>
          <t>N</t>
        </is>
      </c>
      <c r="F73" s="26">
        <f>'Daily Inventory (Live Formulas)'!N27+'Daily Inventory (Live Formulas)'!N28+'Daily Inventory (Live Formulas)'!N29+'Daily Inventory (Live Formulas)'!N30</f>
        <v/>
      </c>
      <c r="G73" s="27" t="inlineStr">
        <is>
          <t>SUM</t>
        </is>
      </c>
      <c r="H73" s="6" t="inlineStr"/>
    </row>
    <row r="74" ht="22" customHeight="1">
      <c r="A74" s="34" t="inlineStr"/>
      <c r="B74" s="4" t="inlineStr"/>
      <c r="C74" s="6" t="inlineStr"/>
      <c r="D74" s="6" t="inlineStr">
        <is>
          <t>Remaining Capacity (BBLs)</t>
        </is>
      </c>
      <c r="E74" s="7" t="inlineStr">
        <is>
          <t>O</t>
        </is>
      </c>
      <c r="F74" s="26">
        <f>'Daily Inventory (Live Formulas)'!O27+'Daily Inventory (Live Formulas)'!O28+'Daily Inventory (Live Formulas)'!O29+'Daily Inventory (Live Formulas)'!O30</f>
        <v/>
      </c>
      <c r="G74" s="27" t="inlineStr">
        <is>
          <t>SUM</t>
        </is>
      </c>
      <c r="H74" s="6" t="inlineStr"/>
    </row>
    <row r="75" ht="22" customHeight="1">
      <c r="A75" s="34" t="inlineStr"/>
      <c r="B75" s="4" t="inlineStr"/>
      <c r="C75" s="6" t="inlineStr"/>
      <c r="D75" s="6" t="inlineStr">
        <is>
          <t>Inventory Change Net Vol (BBLs)</t>
        </is>
      </c>
      <c r="E75" s="7" t="inlineStr">
        <is>
          <t>P</t>
        </is>
      </c>
      <c r="F75" s="26">
        <f>'Daily Inventory (Live Formulas)'!P27+'Daily Inventory (Live Formulas)'!P28+'Daily Inventory (Live Formulas)'!P29+'Daily Inventory (Live Formulas)'!P30</f>
        <v/>
      </c>
      <c r="G75" s="27" t="inlineStr">
        <is>
          <t>SUM</t>
        </is>
      </c>
      <c r="H75" s="6" t="inlineStr"/>
    </row>
    <row r="76" ht="22" customHeight="1">
      <c r="A76" s="23" t="n">
        <v>7</v>
      </c>
      <c r="B76" s="24" t="inlineStr">
        <is>
          <t>Acc_ChemPropylene</t>
        </is>
      </c>
      <c r="C76" s="25" t="inlineStr">
        <is>
          <t>Chemical Grade Propylene</t>
        </is>
      </c>
      <c r="D76" s="25" t="inlineStr">
        <is>
          <t>Opening Net Volume (BBLs)</t>
        </is>
      </c>
      <c r="E76" s="23" t="inlineStr">
        <is>
          <t>E</t>
        </is>
      </c>
      <c r="F76" s="26">
        <f>'Daily Inventory (Live Formulas)'!E33+'Daily Inventory (Live Formulas)'!E34</f>
        <v/>
      </c>
      <c r="G76" s="27" t="inlineStr">
        <is>
          <t>SUM</t>
        </is>
      </c>
      <c r="H76" s="25" t="inlineStr">
        <is>
          <t>TK398, TK399</t>
        </is>
      </c>
    </row>
    <row r="77" ht="22" customHeight="1">
      <c r="A77" s="28" t="inlineStr"/>
      <c r="B77" s="29" t="inlineStr"/>
      <c r="C77" s="25" t="inlineStr"/>
      <c r="D77" s="25" t="inlineStr">
        <is>
          <t>Opening Gravity</t>
        </is>
      </c>
      <c r="E77" s="23" t="inlineStr">
        <is>
          <t>F</t>
        </is>
      </c>
      <c r="F77" s="30">
        <f>AVERAGE('Daily Inventory (Live Formulas)'!F33,'Daily Inventory (Live Formulas)'!F34)</f>
        <v/>
      </c>
      <c r="G77" s="31" t="inlineStr">
        <is>
          <t>AVERAGE</t>
        </is>
      </c>
      <c r="H77" s="25" t="inlineStr"/>
    </row>
    <row r="78" ht="22" customHeight="1">
      <c r="A78" s="28" t="inlineStr"/>
      <c r="B78" s="29" t="inlineStr"/>
      <c r="C78" s="25" t="inlineStr"/>
      <c r="D78" s="25" t="inlineStr">
        <is>
          <t>Closing Net Volume (BBLs)</t>
        </is>
      </c>
      <c r="E78" s="23" t="inlineStr">
        <is>
          <t>G</t>
        </is>
      </c>
      <c r="F78" s="26">
        <f>'Daily Inventory (Live Formulas)'!G33+'Daily Inventory (Live Formulas)'!G34</f>
        <v/>
      </c>
      <c r="G78" s="27" t="inlineStr">
        <is>
          <t>SUM</t>
        </is>
      </c>
      <c r="H78" s="25" t="inlineStr"/>
    </row>
    <row r="79" ht="22" customHeight="1">
      <c r="A79" s="28" t="inlineStr"/>
      <c r="B79" s="29" t="inlineStr"/>
      <c r="C79" s="25" t="inlineStr"/>
      <c r="D79" s="25" t="inlineStr">
        <is>
          <t>Closing Gross Volume (BBLs)</t>
        </is>
      </c>
      <c r="E79" s="23" t="inlineStr">
        <is>
          <t>H</t>
        </is>
      </c>
      <c r="F79" s="26">
        <f>'Daily Inventory (Live Formulas)'!H33+'Daily Inventory (Live Formulas)'!H34</f>
        <v/>
      </c>
      <c r="G79" s="27" t="inlineStr">
        <is>
          <t>SUM</t>
        </is>
      </c>
      <c r="H79" s="25" t="inlineStr"/>
    </row>
    <row r="80" ht="22" customHeight="1">
      <c r="A80" s="28" t="inlineStr"/>
      <c r="B80" s="29" t="inlineStr"/>
      <c r="C80" s="25" t="inlineStr"/>
      <c r="D80" s="25" t="inlineStr">
        <is>
          <t>Level Feet</t>
        </is>
      </c>
      <c r="E80" s="23" t="inlineStr">
        <is>
          <t>I</t>
        </is>
      </c>
      <c r="F80" s="32">
        <f>"'Daily Inventory (Live Formulas)'!I33 — Raw data, no formula"</f>
        <v/>
      </c>
      <c r="G80" s="33" t="inlineStr">
        <is>
          <t>Raw Data</t>
        </is>
      </c>
      <c r="H80" s="25" t="inlineStr"/>
    </row>
    <row r="81" ht="22" customHeight="1">
      <c r="A81" s="28" t="inlineStr"/>
      <c r="B81" s="29" t="inlineStr"/>
      <c r="C81" s="25" t="inlineStr"/>
      <c r="D81" s="25" t="inlineStr">
        <is>
          <t>Gravity (Closing)</t>
        </is>
      </c>
      <c r="E81" s="23" t="inlineStr">
        <is>
          <t>J</t>
        </is>
      </c>
      <c r="F81" s="30">
        <f>AVERAGE('Daily Inventory (Live Formulas)'!J33,'Daily Inventory (Live Formulas)'!J34)</f>
        <v/>
      </c>
      <c r="G81" s="31" t="inlineStr">
        <is>
          <t>AVERAGE</t>
        </is>
      </c>
      <c r="H81" s="25" t="inlineStr"/>
    </row>
    <row r="82" ht="22" customHeight="1">
      <c r="A82" s="28" t="inlineStr"/>
      <c r="B82" s="29" t="inlineStr"/>
      <c r="C82" s="25" t="inlineStr"/>
      <c r="D82" s="25" t="inlineStr">
        <is>
          <t>Temperature</t>
        </is>
      </c>
      <c r="E82" s="23" t="inlineStr">
        <is>
          <t>K</t>
        </is>
      </c>
      <c r="F82" s="32">
        <f>"'Daily Inventory (Live Formulas)'!K33 — Raw data, no formula"</f>
        <v/>
      </c>
      <c r="G82" s="33" t="inlineStr">
        <is>
          <t>Raw Data</t>
        </is>
      </c>
      <c r="H82" s="25" t="inlineStr"/>
    </row>
    <row r="83" ht="22" customHeight="1">
      <c r="A83" s="28" t="inlineStr"/>
      <c r="B83" s="29" t="inlineStr"/>
      <c r="C83" s="25" t="inlineStr"/>
      <c r="D83" s="25" t="inlineStr">
        <is>
          <t>Total Water (BBLs)</t>
        </is>
      </c>
      <c r="E83" s="23" t="inlineStr">
        <is>
          <t>L</t>
        </is>
      </c>
      <c r="F83" s="26">
        <f>'Daily Inventory (Live Formulas)'!L33+'Daily Inventory (Live Formulas)'!L34</f>
        <v/>
      </c>
      <c r="G83" s="27" t="inlineStr">
        <is>
          <t>SUM</t>
        </is>
      </c>
      <c r="H83" s="25" t="inlineStr"/>
    </row>
    <row r="84" ht="22" customHeight="1">
      <c r="A84" s="28" t="inlineStr"/>
      <c r="B84" s="29" t="inlineStr"/>
      <c r="C84" s="25" t="inlineStr"/>
      <c r="D84" s="25" t="inlineStr">
        <is>
          <t>BSW Feet</t>
        </is>
      </c>
      <c r="E84" s="23" t="inlineStr">
        <is>
          <t>M</t>
        </is>
      </c>
      <c r="F84" s="32">
        <f>"'Daily Inventory (Live Formulas)'!M33 — Raw data, no formula"</f>
        <v/>
      </c>
      <c r="G84" s="33" t="inlineStr">
        <is>
          <t>Raw Data</t>
        </is>
      </c>
      <c r="H84" s="25" t="inlineStr"/>
    </row>
    <row r="85" ht="22" customHeight="1">
      <c r="A85" s="28" t="inlineStr"/>
      <c r="B85" s="29" t="inlineStr"/>
      <c r="C85" s="25" t="inlineStr"/>
      <c r="D85" s="25" t="inlineStr">
        <is>
          <t>Volume of Available Product (BBLs)</t>
        </is>
      </c>
      <c r="E85" s="23" t="inlineStr">
        <is>
          <t>N</t>
        </is>
      </c>
      <c r="F85" s="26">
        <f>'Daily Inventory (Live Formulas)'!N33+'Daily Inventory (Live Formulas)'!N34</f>
        <v/>
      </c>
      <c r="G85" s="27" t="inlineStr">
        <is>
          <t>SUM</t>
        </is>
      </c>
      <c r="H85" s="25" t="inlineStr"/>
    </row>
    <row r="86" ht="22" customHeight="1">
      <c r="A86" s="28" t="inlineStr"/>
      <c r="B86" s="29" t="inlineStr"/>
      <c r="C86" s="25" t="inlineStr"/>
      <c r="D86" s="25" t="inlineStr">
        <is>
          <t>Remaining Capacity (BBLs)</t>
        </is>
      </c>
      <c r="E86" s="23" t="inlineStr">
        <is>
          <t>O</t>
        </is>
      </c>
      <c r="F86" s="26">
        <f>'Daily Inventory (Live Formulas)'!O33+'Daily Inventory (Live Formulas)'!O34</f>
        <v/>
      </c>
      <c r="G86" s="27" t="inlineStr">
        <is>
          <t>SUM</t>
        </is>
      </c>
      <c r="H86" s="25" t="inlineStr"/>
    </row>
    <row r="87" ht="22" customHeight="1">
      <c r="A87" s="28" t="inlineStr"/>
      <c r="B87" s="29" t="inlineStr"/>
      <c r="C87" s="25" t="inlineStr"/>
      <c r="D87" s="25" t="inlineStr">
        <is>
          <t>Inventory Change Net Vol (BBLs)</t>
        </is>
      </c>
      <c r="E87" s="23" t="inlineStr">
        <is>
          <t>P</t>
        </is>
      </c>
      <c r="F87" s="26">
        <f>'Daily Inventory (Live Formulas)'!P33+'Daily Inventory (Live Formulas)'!P34</f>
        <v/>
      </c>
      <c r="G87" s="27" t="inlineStr">
        <is>
          <t>SUM</t>
        </is>
      </c>
      <c r="H87" s="25" t="inlineStr"/>
    </row>
    <row r="88" ht="22" customHeight="1">
      <c r="A88" s="7" t="n">
        <v>8</v>
      </c>
      <c r="B88" s="5" t="inlineStr">
        <is>
          <t>Acc_Crude</t>
        </is>
      </c>
      <c r="C88" s="6" t="inlineStr">
        <is>
          <t>Crude Mix</t>
        </is>
      </c>
      <c r="D88" s="6" t="inlineStr">
        <is>
          <t>Opening Net Volume (BBLs)</t>
        </is>
      </c>
      <c r="E88" s="7" t="inlineStr">
        <is>
          <t>E</t>
        </is>
      </c>
      <c r="F88" s="26">
        <f>'Daily Inventory (Live Formulas)'!E37+'Daily Inventory (Live Formulas)'!E38+'Daily Inventory (Live Formulas)'!E39+'Daily Inventory (Live Formulas)'!E40+'Daily Inventory (Live Formulas)'!E41+'Daily Inventory (Live Formulas)'!E42+'Daily Inventory (Live Formulas)'!E43+'Daily Inventory (Live Formulas)'!E44+'Daily Inventory (Live Formulas)'!E45+'Daily Inventory (Live Formulas)'!E46</f>
        <v/>
      </c>
      <c r="G88" s="27" t="inlineStr">
        <is>
          <t>SUM</t>
        </is>
      </c>
      <c r="H88" s="6" t="inlineStr">
        <is>
          <t>LF_004, TK13, TK16, TK17, TK18, TK2, TK3, TK5, TK6, TK8</t>
        </is>
      </c>
    </row>
    <row r="89" ht="22" customHeight="1">
      <c r="A89" s="34" t="inlineStr"/>
      <c r="B89" s="4" t="inlineStr"/>
      <c r="C89" s="6" t="inlineStr"/>
      <c r="D89" s="6" t="inlineStr">
        <is>
          <t>Opening Gravity</t>
        </is>
      </c>
      <c r="E89" s="7" t="inlineStr">
        <is>
          <t>F</t>
        </is>
      </c>
      <c r="F89" s="30">
        <f>AVERAGE('Daily Inventory (Live Formulas)'!F37,'Daily Inventory (Live Formulas)'!F38,'Daily Inventory (Live Formulas)'!F39,'Daily Inventory (Live Formulas)'!F40,'Daily Inventory (Live Formulas)'!F41,'Daily Inventory (Live Formulas)'!F42,'Daily Inventory (Live Formulas)'!F43,'Daily Inventory (Live Formulas)'!F44,'Daily Inventory (Live Formulas)'!F45,'Daily Inventory (Live Formulas)'!F46)</f>
        <v/>
      </c>
      <c r="G89" s="31" t="inlineStr">
        <is>
          <t>AVERAGE</t>
        </is>
      </c>
      <c r="H89" s="6" t="inlineStr"/>
    </row>
    <row r="90" ht="22" customHeight="1">
      <c r="A90" s="34" t="inlineStr"/>
      <c r="B90" s="4" t="inlineStr"/>
      <c r="C90" s="6" t="inlineStr"/>
      <c r="D90" s="6" t="inlineStr">
        <is>
          <t>Closing Net Volume (BBLs)</t>
        </is>
      </c>
      <c r="E90" s="7" t="inlineStr">
        <is>
          <t>G</t>
        </is>
      </c>
      <c r="F90" s="26">
        <f>'Daily Inventory (Live Formulas)'!G37+'Daily Inventory (Live Formulas)'!G38+'Daily Inventory (Live Formulas)'!G39+'Daily Inventory (Live Formulas)'!G40+'Daily Inventory (Live Formulas)'!G41+'Daily Inventory (Live Formulas)'!G42+'Daily Inventory (Live Formulas)'!G43+'Daily Inventory (Live Formulas)'!G44+'Daily Inventory (Live Formulas)'!G45+'Daily Inventory (Live Formulas)'!G46</f>
        <v/>
      </c>
      <c r="G90" s="27" t="inlineStr">
        <is>
          <t>SUM</t>
        </is>
      </c>
      <c r="H90" s="6" t="inlineStr"/>
    </row>
    <row r="91" ht="22" customHeight="1">
      <c r="A91" s="34" t="inlineStr"/>
      <c r="B91" s="4" t="inlineStr"/>
      <c r="C91" s="6" t="inlineStr"/>
      <c r="D91" s="6" t="inlineStr">
        <is>
          <t>Closing Gross Volume (BBLs)</t>
        </is>
      </c>
      <c r="E91" s="7" t="inlineStr">
        <is>
          <t>H</t>
        </is>
      </c>
      <c r="F91" s="26">
        <f>'Daily Inventory (Live Formulas)'!H37+'Daily Inventory (Live Formulas)'!H38+'Daily Inventory (Live Formulas)'!H39+'Daily Inventory (Live Formulas)'!H40+'Daily Inventory (Live Formulas)'!H41+'Daily Inventory (Live Formulas)'!H42+'Daily Inventory (Live Formulas)'!H43+'Daily Inventory (Live Formulas)'!H44+'Daily Inventory (Live Formulas)'!H45+'Daily Inventory (Live Formulas)'!H46</f>
        <v/>
      </c>
      <c r="G91" s="27" t="inlineStr">
        <is>
          <t>SUM</t>
        </is>
      </c>
      <c r="H91" s="6" t="inlineStr"/>
    </row>
    <row r="92" ht="22" customHeight="1">
      <c r="A92" s="34" t="inlineStr"/>
      <c r="B92" s="4" t="inlineStr"/>
      <c r="C92" s="6" t="inlineStr"/>
      <c r="D92" s="6" t="inlineStr">
        <is>
          <t>Level Feet</t>
        </is>
      </c>
      <c r="E92" s="7" t="inlineStr">
        <is>
          <t>I</t>
        </is>
      </c>
      <c r="F92" s="32">
        <f>"'Daily Inventory (Live Formulas)'!I37 — Raw data, no formula"</f>
        <v/>
      </c>
      <c r="G92" s="33" t="inlineStr">
        <is>
          <t>Raw Data</t>
        </is>
      </c>
      <c r="H92" s="6" t="inlineStr"/>
    </row>
    <row r="93" ht="22" customHeight="1">
      <c r="A93" s="34" t="inlineStr"/>
      <c r="B93" s="4" t="inlineStr"/>
      <c r="C93" s="6" t="inlineStr"/>
      <c r="D93" s="6" t="inlineStr">
        <is>
          <t>Gravity (Closing)</t>
        </is>
      </c>
      <c r="E93" s="7" t="inlineStr">
        <is>
          <t>J</t>
        </is>
      </c>
      <c r="F93" s="30">
        <f>AVERAGE('Daily Inventory (Live Formulas)'!J37,'Daily Inventory (Live Formulas)'!J38,'Daily Inventory (Live Formulas)'!J39,'Daily Inventory (Live Formulas)'!J40,'Daily Inventory (Live Formulas)'!J41,'Daily Inventory (Live Formulas)'!J42,'Daily Inventory (Live Formulas)'!J43,'Daily Inventory (Live Formulas)'!J44,'Daily Inventory (Live Formulas)'!J45,'Daily Inventory (Live Formulas)'!J46)</f>
        <v/>
      </c>
      <c r="G93" s="31" t="inlineStr">
        <is>
          <t>AVERAGE</t>
        </is>
      </c>
      <c r="H93" s="6" t="inlineStr"/>
    </row>
    <row r="94" ht="22" customHeight="1">
      <c r="A94" s="34" t="inlineStr"/>
      <c r="B94" s="4" t="inlineStr"/>
      <c r="C94" s="6" t="inlineStr"/>
      <c r="D94" s="6" t="inlineStr">
        <is>
          <t>Temperature</t>
        </is>
      </c>
      <c r="E94" s="7" t="inlineStr">
        <is>
          <t>K</t>
        </is>
      </c>
      <c r="F94" s="32">
        <f>"'Daily Inventory (Live Formulas)'!K37 — Raw data, no formula"</f>
        <v/>
      </c>
      <c r="G94" s="33" t="inlineStr">
        <is>
          <t>Raw Data</t>
        </is>
      </c>
      <c r="H94" s="6" t="inlineStr"/>
    </row>
    <row r="95" ht="22" customHeight="1">
      <c r="A95" s="34" t="inlineStr"/>
      <c r="B95" s="4" t="inlineStr"/>
      <c r="C95" s="6" t="inlineStr"/>
      <c r="D95" s="6" t="inlineStr">
        <is>
          <t>Total Water (BBLs)</t>
        </is>
      </c>
      <c r="E95" s="7" t="inlineStr">
        <is>
          <t>L</t>
        </is>
      </c>
      <c r="F95" s="26">
        <f>'Daily Inventory (Live Formulas)'!L37+'Daily Inventory (Live Formulas)'!L38+'Daily Inventory (Live Formulas)'!L39+'Daily Inventory (Live Formulas)'!L40+'Daily Inventory (Live Formulas)'!L41+'Daily Inventory (Live Formulas)'!L42+'Daily Inventory (Live Formulas)'!L43+'Daily Inventory (Live Formulas)'!L44+'Daily Inventory (Live Formulas)'!L45+'Daily Inventory (Live Formulas)'!L46</f>
        <v/>
      </c>
      <c r="G95" s="27" t="inlineStr">
        <is>
          <t>SUM</t>
        </is>
      </c>
      <c r="H95" s="6" t="inlineStr"/>
    </row>
    <row r="96" ht="22" customHeight="1">
      <c r="A96" s="34" t="inlineStr"/>
      <c r="B96" s="4" t="inlineStr"/>
      <c r="C96" s="6" t="inlineStr"/>
      <c r="D96" s="6" t="inlineStr">
        <is>
          <t>BSW Feet</t>
        </is>
      </c>
      <c r="E96" s="7" t="inlineStr">
        <is>
          <t>M</t>
        </is>
      </c>
      <c r="F96" s="32">
        <f>"'Daily Inventory (Live Formulas)'!M37 — Raw data, no formula"</f>
        <v/>
      </c>
      <c r="G96" s="33" t="inlineStr">
        <is>
          <t>Raw Data</t>
        </is>
      </c>
      <c r="H96" s="6" t="inlineStr"/>
    </row>
    <row r="97" ht="22" customHeight="1">
      <c r="A97" s="34" t="inlineStr"/>
      <c r="B97" s="4" t="inlineStr"/>
      <c r="C97" s="6" t="inlineStr"/>
      <c r="D97" s="6" t="inlineStr">
        <is>
          <t>Volume of Available Product (BBLs)</t>
        </is>
      </c>
      <c r="E97" s="7" t="inlineStr">
        <is>
          <t>N</t>
        </is>
      </c>
      <c r="F97" s="26">
        <f>'Daily Inventory (Live Formulas)'!N37+'Daily Inventory (Live Formulas)'!N38+'Daily Inventory (Live Formulas)'!N39+'Daily Inventory (Live Formulas)'!N40+'Daily Inventory (Live Formulas)'!N41+'Daily Inventory (Live Formulas)'!N42+'Daily Inventory (Live Formulas)'!N43+'Daily Inventory (Live Formulas)'!N44+'Daily Inventory (Live Formulas)'!N45+'Daily Inventory (Live Formulas)'!N46</f>
        <v/>
      </c>
      <c r="G97" s="27" t="inlineStr">
        <is>
          <t>SUM</t>
        </is>
      </c>
      <c r="H97" s="6" t="inlineStr"/>
    </row>
    <row r="98" ht="22" customHeight="1">
      <c r="A98" s="34" t="inlineStr"/>
      <c r="B98" s="4" t="inlineStr"/>
      <c r="C98" s="6" t="inlineStr"/>
      <c r="D98" s="6" t="inlineStr">
        <is>
          <t>Remaining Capacity (BBLs)</t>
        </is>
      </c>
      <c r="E98" s="7" t="inlineStr">
        <is>
          <t>O</t>
        </is>
      </c>
      <c r="F98" s="26">
        <f>'Daily Inventory (Live Formulas)'!O37+'Daily Inventory (Live Formulas)'!O38+'Daily Inventory (Live Formulas)'!O39+'Daily Inventory (Live Formulas)'!O40+'Daily Inventory (Live Formulas)'!O41+'Daily Inventory (Live Formulas)'!O42+'Daily Inventory (Live Formulas)'!O43+'Daily Inventory (Live Formulas)'!O44+'Daily Inventory (Live Formulas)'!O45+'Daily Inventory (Live Formulas)'!O46</f>
        <v/>
      </c>
      <c r="G98" s="27" t="inlineStr">
        <is>
          <t>SUM</t>
        </is>
      </c>
      <c r="H98" s="6" t="inlineStr"/>
    </row>
    <row r="99" ht="22" customHeight="1">
      <c r="A99" s="34" t="inlineStr"/>
      <c r="B99" s="4" t="inlineStr"/>
      <c r="C99" s="6" t="inlineStr"/>
      <c r="D99" s="6" t="inlineStr">
        <is>
          <t>Inventory Change Net Vol (BBLs)</t>
        </is>
      </c>
      <c r="E99" s="7" t="inlineStr">
        <is>
          <t>P</t>
        </is>
      </c>
      <c r="F99" s="26">
        <f>'Daily Inventory (Live Formulas)'!P37+'Daily Inventory (Live Formulas)'!P38+'Daily Inventory (Live Formulas)'!P39+'Daily Inventory (Live Formulas)'!P40+'Daily Inventory (Live Formulas)'!P41+'Daily Inventory (Live Formulas)'!P42+'Daily Inventory (Live Formulas)'!P43+'Daily Inventory (Live Formulas)'!P44+'Daily Inventory (Live Formulas)'!P45+'Daily Inventory (Live Formulas)'!P46</f>
        <v/>
      </c>
      <c r="G99" s="27" t="inlineStr">
        <is>
          <t>SUM</t>
        </is>
      </c>
      <c r="H99" s="6" t="inlineStr"/>
    </row>
    <row r="100" ht="22" customHeight="1">
      <c r="A100" s="23" t="n">
        <v>9</v>
      </c>
      <c r="B100" s="24" t="inlineStr">
        <is>
          <t>Acc_DistillateStock</t>
        </is>
      </c>
      <c r="C100" s="25" t="inlineStr">
        <is>
          <t>Distillate Stock</t>
        </is>
      </c>
      <c r="D100" s="25" t="inlineStr">
        <is>
          <t>Opening Net Volume (BBLs)</t>
        </is>
      </c>
      <c r="E100" s="23" t="inlineStr">
        <is>
          <t>E</t>
        </is>
      </c>
      <c r="F100" s="26">
        <f>'Daily Inventory (Live Formulas)'!E49+'Daily Inventory (Live Formulas)'!E50</f>
        <v/>
      </c>
      <c r="G100" s="27" t="inlineStr">
        <is>
          <t>SUM</t>
        </is>
      </c>
      <c r="H100" s="25" t="inlineStr">
        <is>
          <t>TK957, TK958</t>
        </is>
      </c>
    </row>
    <row r="101" ht="22" customHeight="1">
      <c r="A101" s="28" t="inlineStr"/>
      <c r="B101" s="29" t="inlineStr"/>
      <c r="C101" s="25" t="inlineStr"/>
      <c r="D101" s="25" t="inlineStr">
        <is>
          <t>Opening Gravity</t>
        </is>
      </c>
      <c r="E101" s="23" t="inlineStr">
        <is>
          <t>F</t>
        </is>
      </c>
      <c r="F101" s="30">
        <f>AVERAGE('Daily Inventory (Live Formulas)'!F49,'Daily Inventory (Live Formulas)'!F50)</f>
        <v/>
      </c>
      <c r="G101" s="31" t="inlineStr">
        <is>
          <t>AVERAGE</t>
        </is>
      </c>
      <c r="H101" s="25" t="inlineStr"/>
    </row>
    <row r="102" ht="22" customHeight="1">
      <c r="A102" s="28" t="inlineStr"/>
      <c r="B102" s="29" t="inlineStr"/>
      <c r="C102" s="25" t="inlineStr"/>
      <c r="D102" s="25" t="inlineStr">
        <is>
          <t>Closing Net Volume (BBLs)</t>
        </is>
      </c>
      <c r="E102" s="23" t="inlineStr">
        <is>
          <t>G</t>
        </is>
      </c>
      <c r="F102" s="26">
        <f>'Daily Inventory (Live Formulas)'!G49+'Daily Inventory (Live Formulas)'!G50</f>
        <v/>
      </c>
      <c r="G102" s="27" t="inlineStr">
        <is>
          <t>SUM</t>
        </is>
      </c>
      <c r="H102" s="25" t="inlineStr"/>
    </row>
    <row r="103" ht="22" customHeight="1">
      <c r="A103" s="28" t="inlineStr"/>
      <c r="B103" s="29" t="inlineStr"/>
      <c r="C103" s="25" t="inlineStr"/>
      <c r="D103" s="25" t="inlineStr">
        <is>
          <t>Closing Gross Volume (BBLs)</t>
        </is>
      </c>
      <c r="E103" s="23" t="inlineStr">
        <is>
          <t>H</t>
        </is>
      </c>
      <c r="F103" s="26">
        <f>'Daily Inventory (Live Formulas)'!H49+'Daily Inventory (Live Formulas)'!H50</f>
        <v/>
      </c>
      <c r="G103" s="27" t="inlineStr">
        <is>
          <t>SUM</t>
        </is>
      </c>
      <c r="H103" s="25" t="inlineStr"/>
    </row>
    <row r="104" ht="22" customHeight="1">
      <c r="A104" s="28" t="inlineStr"/>
      <c r="B104" s="29" t="inlineStr"/>
      <c r="C104" s="25" t="inlineStr"/>
      <c r="D104" s="25" t="inlineStr">
        <is>
          <t>Level Feet</t>
        </is>
      </c>
      <c r="E104" s="23" t="inlineStr">
        <is>
          <t>I</t>
        </is>
      </c>
      <c r="F104" s="32">
        <f>"'Daily Inventory (Live Formulas)'!I49 — Raw data, no formula"</f>
        <v/>
      </c>
      <c r="G104" s="33" t="inlineStr">
        <is>
          <t>Raw Data</t>
        </is>
      </c>
      <c r="H104" s="25" t="inlineStr"/>
    </row>
    <row r="105" ht="22" customHeight="1">
      <c r="A105" s="28" t="inlineStr"/>
      <c r="B105" s="29" t="inlineStr"/>
      <c r="C105" s="25" t="inlineStr"/>
      <c r="D105" s="25" t="inlineStr">
        <is>
          <t>Gravity (Closing)</t>
        </is>
      </c>
      <c r="E105" s="23" t="inlineStr">
        <is>
          <t>J</t>
        </is>
      </c>
      <c r="F105" s="30">
        <f>AVERAGE('Daily Inventory (Live Formulas)'!J49,'Daily Inventory (Live Formulas)'!J50)</f>
        <v/>
      </c>
      <c r="G105" s="31" t="inlineStr">
        <is>
          <t>AVERAGE</t>
        </is>
      </c>
      <c r="H105" s="25" t="inlineStr"/>
    </row>
    <row r="106" ht="22" customHeight="1">
      <c r="A106" s="28" t="inlineStr"/>
      <c r="B106" s="29" t="inlineStr"/>
      <c r="C106" s="25" t="inlineStr"/>
      <c r="D106" s="25" t="inlineStr">
        <is>
          <t>Temperature</t>
        </is>
      </c>
      <c r="E106" s="23" t="inlineStr">
        <is>
          <t>K</t>
        </is>
      </c>
      <c r="F106" s="32">
        <f>"'Daily Inventory (Live Formulas)'!K49 — Raw data, no formula"</f>
        <v/>
      </c>
      <c r="G106" s="33" t="inlineStr">
        <is>
          <t>Raw Data</t>
        </is>
      </c>
      <c r="H106" s="25" t="inlineStr"/>
    </row>
    <row r="107" ht="22" customHeight="1">
      <c r="A107" s="28" t="inlineStr"/>
      <c r="B107" s="29" t="inlineStr"/>
      <c r="C107" s="25" t="inlineStr"/>
      <c r="D107" s="25" t="inlineStr">
        <is>
          <t>Total Water (BBLs)</t>
        </is>
      </c>
      <c r="E107" s="23" t="inlineStr">
        <is>
          <t>L</t>
        </is>
      </c>
      <c r="F107" s="26">
        <f>'Daily Inventory (Live Formulas)'!L49+'Daily Inventory (Live Formulas)'!L50</f>
        <v/>
      </c>
      <c r="G107" s="27" t="inlineStr">
        <is>
          <t>SUM</t>
        </is>
      </c>
      <c r="H107" s="25" t="inlineStr"/>
    </row>
    <row r="108" ht="22" customHeight="1">
      <c r="A108" s="28" t="inlineStr"/>
      <c r="B108" s="29" t="inlineStr"/>
      <c r="C108" s="25" t="inlineStr"/>
      <c r="D108" s="25" t="inlineStr">
        <is>
          <t>BSW Feet</t>
        </is>
      </c>
      <c r="E108" s="23" t="inlineStr">
        <is>
          <t>M</t>
        </is>
      </c>
      <c r="F108" s="32">
        <f>"'Daily Inventory (Live Formulas)'!M49 — Raw data, no formula"</f>
        <v/>
      </c>
      <c r="G108" s="33" t="inlineStr">
        <is>
          <t>Raw Data</t>
        </is>
      </c>
      <c r="H108" s="25" t="inlineStr"/>
    </row>
    <row r="109" ht="22" customHeight="1">
      <c r="A109" s="28" t="inlineStr"/>
      <c r="B109" s="29" t="inlineStr"/>
      <c r="C109" s="25" t="inlineStr"/>
      <c r="D109" s="25" t="inlineStr">
        <is>
          <t>Volume of Available Product (BBLs)</t>
        </is>
      </c>
      <c r="E109" s="23" t="inlineStr">
        <is>
          <t>N</t>
        </is>
      </c>
      <c r="F109" s="26">
        <f>'Daily Inventory (Live Formulas)'!N49+'Daily Inventory (Live Formulas)'!N50</f>
        <v/>
      </c>
      <c r="G109" s="27" t="inlineStr">
        <is>
          <t>SUM</t>
        </is>
      </c>
      <c r="H109" s="25" t="inlineStr"/>
    </row>
    <row r="110" ht="22" customHeight="1">
      <c r="A110" s="28" t="inlineStr"/>
      <c r="B110" s="29" t="inlineStr"/>
      <c r="C110" s="25" t="inlineStr"/>
      <c r="D110" s="25" t="inlineStr">
        <is>
          <t>Remaining Capacity (BBLs)</t>
        </is>
      </c>
      <c r="E110" s="23" t="inlineStr">
        <is>
          <t>O</t>
        </is>
      </c>
      <c r="F110" s="26">
        <f>'Daily Inventory (Live Formulas)'!O49+'Daily Inventory (Live Formulas)'!O50</f>
        <v/>
      </c>
      <c r="G110" s="27" t="inlineStr">
        <is>
          <t>SUM</t>
        </is>
      </c>
      <c r="H110" s="25" t="inlineStr"/>
    </row>
    <row r="111" ht="22" customHeight="1">
      <c r="A111" s="28" t="inlineStr"/>
      <c r="B111" s="29" t="inlineStr"/>
      <c r="C111" s="25" t="inlineStr"/>
      <c r="D111" s="25" t="inlineStr">
        <is>
          <t>Inventory Change Net Vol (BBLs)</t>
        </is>
      </c>
      <c r="E111" s="23" t="inlineStr">
        <is>
          <t>P</t>
        </is>
      </c>
      <c r="F111" s="26">
        <f>'Daily Inventory (Live Formulas)'!P49+'Daily Inventory (Live Formulas)'!P50</f>
        <v/>
      </c>
      <c r="G111" s="27" t="inlineStr">
        <is>
          <t>SUM</t>
        </is>
      </c>
      <c r="H111" s="25" t="inlineStr"/>
    </row>
    <row r="112" ht="22" customHeight="1">
      <c r="A112" s="7" t="n">
        <v>10</v>
      </c>
      <c r="B112" s="5" t="inlineStr">
        <is>
          <t>Acc_ExportDiesel</t>
        </is>
      </c>
      <c r="C112" s="6" t="inlineStr">
        <is>
          <t>Export Diesel</t>
        </is>
      </c>
      <c r="D112" s="6" t="inlineStr">
        <is>
          <t>Opening Net Volume (BBLs)</t>
        </is>
      </c>
      <c r="E112" s="7" t="inlineStr">
        <is>
          <t>E</t>
        </is>
      </c>
      <c r="F112" s="26">
        <f>'Daily Inventory (Live Formulas)'!E53+'Daily Inventory (Live Formulas)'!E54+'Daily Inventory (Live Formulas)'!E55+'Daily Inventory (Live Formulas)'!E56+'Daily Inventory (Live Formulas)'!E57</f>
        <v/>
      </c>
      <c r="G112" s="27" t="inlineStr">
        <is>
          <t>SUM</t>
        </is>
      </c>
      <c r="H112" s="6" t="inlineStr">
        <is>
          <t>TK56, TK57, TK58, TK59, TK60</t>
        </is>
      </c>
    </row>
    <row r="113" ht="22" customHeight="1">
      <c r="A113" s="34" t="inlineStr"/>
      <c r="B113" s="4" t="inlineStr"/>
      <c r="C113" s="6" t="inlineStr"/>
      <c r="D113" s="6" t="inlineStr">
        <is>
          <t>Opening Gravity</t>
        </is>
      </c>
      <c r="E113" s="7" t="inlineStr">
        <is>
          <t>F</t>
        </is>
      </c>
      <c r="F113" s="30">
        <f>AVERAGE('Daily Inventory (Live Formulas)'!F53,'Daily Inventory (Live Formulas)'!F54,'Daily Inventory (Live Formulas)'!F55,'Daily Inventory (Live Formulas)'!F56,'Daily Inventory (Live Formulas)'!F57)</f>
        <v/>
      </c>
      <c r="G113" s="31" t="inlineStr">
        <is>
          <t>AVERAGE</t>
        </is>
      </c>
      <c r="H113" s="6" t="inlineStr"/>
    </row>
    <row r="114" ht="22" customHeight="1">
      <c r="A114" s="34" t="inlineStr"/>
      <c r="B114" s="4" t="inlineStr"/>
      <c r="C114" s="6" t="inlineStr"/>
      <c r="D114" s="6" t="inlineStr">
        <is>
          <t>Closing Net Volume (BBLs)</t>
        </is>
      </c>
      <c r="E114" s="7" t="inlineStr">
        <is>
          <t>G</t>
        </is>
      </c>
      <c r="F114" s="26">
        <f>'Daily Inventory (Live Formulas)'!G53+'Daily Inventory (Live Formulas)'!G54+'Daily Inventory (Live Formulas)'!G55+'Daily Inventory (Live Formulas)'!G56+'Daily Inventory (Live Formulas)'!G57</f>
        <v/>
      </c>
      <c r="G114" s="27" t="inlineStr">
        <is>
          <t>SUM</t>
        </is>
      </c>
      <c r="H114" s="6" t="inlineStr"/>
    </row>
    <row r="115" ht="22" customHeight="1">
      <c r="A115" s="34" t="inlineStr"/>
      <c r="B115" s="4" t="inlineStr"/>
      <c r="C115" s="6" t="inlineStr"/>
      <c r="D115" s="6" t="inlineStr">
        <is>
          <t>Closing Gross Volume (BBLs)</t>
        </is>
      </c>
      <c r="E115" s="7" t="inlineStr">
        <is>
          <t>H</t>
        </is>
      </c>
      <c r="F115" s="26">
        <f>'Daily Inventory (Live Formulas)'!H53+'Daily Inventory (Live Formulas)'!H54+'Daily Inventory (Live Formulas)'!H55+'Daily Inventory (Live Formulas)'!H56+'Daily Inventory (Live Formulas)'!H57</f>
        <v/>
      </c>
      <c r="G115" s="27" t="inlineStr">
        <is>
          <t>SUM</t>
        </is>
      </c>
      <c r="H115" s="6" t="inlineStr"/>
    </row>
    <row r="116" ht="22" customHeight="1">
      <c r="A116" s="34" t="inlineStr"/>
      <c r="B116" s="4" t="inlineStr"/>
      <c r="C116" s="6" t="inlineStr"/>
      <c r="D116" s="6" t="inlineStr">
        <is>
          <t>Level Feet</t>
        </is>
      </c>
      <c r="E116" s="7" t="inlineStr">
        <is>
          <t>I</t>
        </is>
      </c>
      <c r="F116" s="32">
        <f>"'Daily Inventory (Live Formulas)'!I53 — Raw data, no formula"</f>
        <v/>
      </c>
      <c r="G116" s="33" t="inlineStr">
        <is>
          <t>Raw Data</t>
        </is>
      </c>
      <c r="H116" s="6" t="inlineStr"/>
    </row>
    <row r="117" ht="22" customHeight="1">
      <c r="A117" s="34" t="inlineStr"/>
      <c r="B117" s="4" t="inlineStr"/>
      <c r="C117" s="6" t="inlineStr"/>
      <c r="D117" s="6" t="inlineStr">
        <is>
          <t>Gravity (Closing)</t>
        </is>
      </c>
      <c r="E117" s="7" t="inlineStr">
        <is>
          <t>J</t>
        </is>
      </c>
      <c r="F117" s="30">
        <f>AVERAGE('Daily Inventory (Live Formulas)'!J53,'Daily Inventory (Live Formulas)'!J54,'Daily Inventory (Live Formulas)'!J55,'Daily Inventory (Live Formulas)'!J56,'Daily Inventory (Live Formulas)'!J57)</f>
        <v/>
      </c>
      <c r="G117" s="31" t="inlineStr">
        <is>
          <t>AVERAGE</t>
        </is>
      </c>
      <c r="H117" s="6" t="inlineStr"/>
    </row>
    <row r="118" ht="22" customHeight="1">
      <c r="A118" s="34" t="inlineStr"/>
      <c r="B118" s="4" t="inlineStr"/>
      <c r="C118" s="6" t="inlineStr"/>
      <c r="D118" s="6" t="inlineStr">
        <is>
          <t>Temperature</t>
        </is>
      </c>
      <c r="E118" s="7" t="inlineStr">
        <is>
          <t>K</t>
        </is>
      </c>
      <c r="F118" s="32">
        <f>"'Daily Inventory (Live Formulas)'!K53 — Raw data, no formula"</f>
        <v/>
      </c>
      <c r="G118" s="33" t="inlineStr">
        <is>
          <t>Raw Data</t>
        </is>
      </c>
      <c r="H118" s="6" t="inlineStr"/>
    </row>
    <row r="119" ht="22" customHeight="1">
      <c r="A119" s="34" t="inlineStr"/>
      <c r="B119" s="4" t="inlineStr"/>
      <c r="C119" s="6" t="inlineStr"/>
      <c r="D119" s="6" t="inlineStr">
        <is>
          <t>Total Water (BBLs)</t>
        </is>
      </c>
      <c r="E119" s="7" t="inlineStr">
        <is>
          <t>L</t>
        </is>
      </c>
      <c r="F119" s="26">
        <f>'Daily Inventory (Live Formulas)'!L53+'Daily Inventory (Live Formulas)'!L54+'Daily Inventory (Live Formulas)'!L55+'Daily Inventory (Live Formulas)'!L56+'Daily Inventory (Live Formulas)'!L57</f>
        <v/>
      </c>
      <c r="G119" s="27" t="inlineStr">
        <is>
          <t>SUM</t>
        </is>
      </c>
      <c r="H119" s="6" t="inlineStr"/>
    </row>
    <row r="120" ht="22" customHeight="1">
      <c r="A120" s="34" t="inlineStr"/>
      <c r="B120" s="4" t="inlineStr"/>
      <c r="C120" s="6" t="inlineStr"/>
      <c r="D120" s="6" t="inlineStr">
        <is>
          <t>BSW Feet</t>
        </is>
      </c>
      <c r="E120" s="7" t="inlineStr">
        <is>
          <t>M</t>
        </is>
      </c>
      <c r="F120" s="32">
        <f>"'Daily Inventory (Live Formulas)'!M53 — Raw data, no formula"</f>
        <v/>
      </c>
      <c r="G120" s="33" t="inlineStr">
        <is>
          <t>Raw Data</t>
        </is>
      </c>
      <c r="H120" s="6" t="inlineStr"/>
    </row>
    <row r="121" ht="22" customHeight="1">
      <c r="A121" s="34" t="inlineStr"/>
      <c r="B121" s="4" t="inlineStr"/>
      <c r="C121" s="6" t="inlineStr"/>
      <c r="D121" s="6" t="inlineStr">
        <is>
          <t>Volume of Available Product (BBLs)</t>
        </is>
      </c>
      <c r="E121" s="7" t="inlineStr">
        <is>
          <t>N</t>
        </is>
      </c>
      <c r="F121" s="26">
        <f>'Daily Inventory (Live Formulas)'!N53+'Daily Inventory (Live Formulas)'!N54+'Daily Inventory (Live Formulas)'!N55+'Daily Inventory (Live Formulas)'!N56+'Daily Inventory (Live Formulas)'!N57</f>
        <v/>
      </c>
      <c r="G121" s="27" t="inlineStr">
        <is>
          <t>SUM</t>
        </is>
      </c>
      <c r="H121" s="6" t="inlineStr"/>
    </row>
    <row r="122" ht="22" customHeight="1">
      <c r="A122" s="34" t="inlineStr"/>
      <c r="B122" s="4" t="inlineStr"/>
      <c r="C122" s="6" t="inlineStr"/>
      <c r="D122" s="6" t="inlineStr">
        <is>
          <t>Remaining Capacity (BBLs)</t>
        </is>
      </c>
      <c r="E122" s="7" t="inlineStr">
        <is>
          <t>O</t>
        </is>
      </c>
      <c r="F122" s="26">
        <f>'Daily Inventory (Live Formulas)'!O53+'Daily Inventory (Live Formulas)'!O54+'Daily Inventory (Live Formulas)'!O55+'Daily Inventory (Live Formulas)'!O56+'Daily Inventory (Live Formulas)'!O57</f>
        <v/>
      </c>
      <c r="G122" s="27" t="inlineStr">
        <is>
          <t>SUM</t>
        </is>
      </c>
      <c r="H122" s="6" t="inlineStr"/>
    </row>
    <row r="123" ht="22" customHeight="1">
      <c r="A123" s="34" t="inlineStr"/>
      <c r="B123" s="4" t="inlineStr"/>
      <c r="C123" s="6" t="inlineStr"/>
      <c r="D123" s="6" t="inlineStr">
        <is>
          <t>Inventory Change Net Vol (BBLs)</t>
        </is>
      </c>
      <c r="E123" s="7" t="inlineStr">
        <is>
          <t>P</t>
        </is>
      </c>
      <c r="F123" s="26">
        <f>'Daily Inventory (Live Formulas)'!P53+'Daily Inventory (Live Formulas)'!P54+'Daily Inventory (Live Formulas)'!P55+'Daily Inventory (Live Formulas)'!P56+'Daily Inventory (Live Formulas)'!P57</f>
        <v/>
      </c>
      <c r="G123" s="27" t="inlineStr">
        <is>
          <t>SUM</t>
        </is>
      </c>
      <c r="H123" s="6" t="inlineStr"/>
    </row>
    <row r="124" ht="22" customHeight="1">
      <c r="A124" s="23" t="n">
        <v>11</v>
      </c>
      <c r="B124" s="24" t="inlineStr">
        <is>
          <t>Acc_FuelOilBlndStck</t>
        </is>
      </c>
      <c r="C124" s="25" t="inlineStr">
        <is>
          <t>Fuel Oil Blend Stock</t>
        </is>
      </c>
      <c r="D124" s="25" t="inlineStr">
        <is>
          <t>Opening Net Volume (BBLs)</t>
        </is>
      </c>
      <c r="E124" s="23" t="inlineStr">
        <is>
          <t>E</t>
        </is>
      </c>
      <c r="F124" s="26">
        <f>'Daily Inventory (Live Formulas)'!E60+'Daily Inventory (Live Formulas)'!E61</f>
        <v/>
      </c>
      <c r="G124" s="27" t="inlineStr">
        <is>
          <t>SUM</t>
        </is>
      </c>
      <c r="H124" s="25" t="inlineStr">
        <is>
          <t>TK152, TK84</t>
        </is>
      </c>
    </row>
    <row r="125" ht="22" customHeight="1">
      <c r="A125" s="28" t="inlineStr"/>
      <c r="B125" s="29" t="inlineStr"/>
      <c r="C125" s="25" t="inlineStr"/>
      <c r="D125" s="25" t="inlineStr">
        <is>
          <t>Opening Gravity</t>
        </is>
      </c>
      <c r="E125" s="23" t="inlineStr">
        <is>
          <t>F</t>
        </is>
      </c>
      <c r="F125" s="30">
        <f>AVERAGE('Daily Inventory (Live Formulas)'!F60,'Daily Inventory (Live Formulas)'!F61)</f>
        <v/>
      </c>
      <c r="G125" s="31" t="inlineStr">
        <is>
          <t>AVERAGE</t>
        </is>
      </c>
      <c r="H125" s="25" t="inlineStr"/>
    </row>
    <row r="126" ht="22" customHeight="1">
      <c r="A126" s="28" t="inlineStr"/>
      <c r="B126" s="29" t="inlineStr"/>
      <c r="C126" s="25" t="inlineStr"/>
      <c r="D126" s="25" t="inlineStr">
        <is>
          <t>Closing Net Volume (BBLs)</t>
        </is>
      </c>
      <c r="E126" s="23" t="inlineStr">
        <is>
          <t>G</t>
        </is>
      </c>
      <c r="F126" s="26">
        <f>'Daily Inventory (Live Formulas)'!G60+'Daily Inventory (Live Formulas)'!G61</f>
        <v/>
      </c>
      <c r="G126" s="27" t="inlineStr">
        <is>
          <t>SUM</t>
        </is>
      </c>
      <c r="H126" s="25" t="inlineStr"/>
    </row>
    <row r="127" ht="22" customHeight="1">
      <c r="A127" s="28" t="inlineStr"/>
      <c r="B127" s="29" t="inlineStr"/>
      <c r="C127" s="25" t="inlineStr"/>
      <c r="D127" s="25" t="inlineStr">
        <is>
          <t>Closing Gross Volume (BBLs)</t>
        </is>
      </c>
      <c r="E127" s="23" t="inlineStr">
        <is>
          <t>H</t>
        </is>
      </c>
      <c r="F127" s="26">
        <f>'Daily Inventory (Live Formulas)'!H60+'Daily Inventory (Live Formulas)'!H61</f>
        <v/>
      </c>
      <c r="G127" s="27" t="inlineStr">
        <is>
          <t>SUM</t>
        </is>
      </c>
      <c r="H127" s="25" t="inlineStr"/>
    </row>
    <row r="128" ht="22" customHeight="1">
      <c r="A128" s="28" t="inlineStr"/>
      <c r="B128" s="29" t="inlineStr"/>
      <c r="C128" s="25" t="inlineStr"/>
      <c r="D128" s="25" t="inlineStr">
        <is>
          <t>Level Feet</t>
        </is>
      </c>
      <c r="E128" s="23" t="inlineStr">
        <is>
          <t>I</t>
        </is>
      </c>
      <c r="F128" s="32">
        <f>"'Daily Inventory (Live Formulas)'!I60 — Raw data, no formula"</f>
        <v/>
      </c>
      <c r="G128" s="33" t="inlineStr">
        <is>
          <t>Raw Data</t>
        </is>
      </c>
      <c r="H128" s="25" t="inlineStr"/>
    </row>
    <row r="129" ht="22" customHeight="1">
      <c r="A129" s="28" t="inlineStr"/>
      <c r="B129" s="29" t="inlineStr"/>
      <c r="C129" s="25" t="inlineStr"/>
      <c r="D129" s="25" t="inlineStr">
        <is>
          <t>Gravity (Closing)</t>
        </is>
      </c>
      <c r="E129" s="23" t="inlineStr">
        <is>
          <t>J</t>
        </is>
      </c>
      <c r="F129" s="30">
        <f>AVERAGE('Daily Inventory (Live Formulas)'!J60,'Daily Inventory (Live Formulas)'!J61)</f>
        <v/>
      </c>
      <c r="G129" s="31" t="inlineStr">
        <is>
          <t>AVERAGE</t>
        </is>
      </c>
      <c r="H129" s="25" t="inlineStr"/>
    </row>
    <row r="130" ht="22" customHeight="1">
      <c r="A130" s="28" t="inlineStr"/>
      <c r="B130" s="29" t="inlineStr"/>
      <c r="C130" s="25" t="inlineStr"/>
      <c r="D130" s="25" t="inlineStr">
        <is>
          <t>Temperature</t>
        </is>
      </c>
      <c r="E130" s="23" t="inlineStr">
        <is>
          <t>K</t>
        </is>
      </c>
      <c r="F130" s="32">
        <f>"'Daily Inventory (Live Formulas)'!K60 — Raw data, no formula"</f>
        <v/>
      </c>
      <c r="G130" s="33" t="inlineStr">
        <is>
          <t>Raw Data</t>
        </is>
      </c>
      <c r="H130" s="25" t="inlineStr"/>
    </row>
    <row r="131" ht="22" customHeight="1">
      <c r="A131" s="28" t="inlineStr"/>
      <c r="B131" s="29" t="inlineStr"/>
      <c r="C131" s="25" t="inlineStr"/>
      <c r="D131" s="25" t="inlineStr">
        <is>
          <t>Total Water (BBLs)</t>
        </is>
      </c>
      <c r="E131" s="23" t="inlineStr">
        <is>
          <t>L</t>
        </is>
      </c>
      <c r="F131" s="26">
        <f>'Daily Inventory (Live Formulas)'!L60+'Daily Inventory (Live Formulas)'!L61</f>
        <v/>
      </c>
      <c r="G131" s="27" t="inlineStr">
        <is>
          <t>SUM</t>
        </is>
      </c>
      <c r="H131" s="25" t="inlineStr"/>
    </row>
    <row r="132" ht="22" customHeight="1">
      <c r="A132" s="28" t="inlineStr"/>
      <c r="B132" s="29" t="inlineStr"/>
      <c r="C132" s="25" t="inlineStr"/>
      <c r="D132" s="25" t="inlineStr">
        <is>
          <t>BSW Feet</t>
        </is>
      </c>
      <c r="E132" s="23" t="inlineStr">
        <is>
          <t>M</t>
        </is>
      </c>
      <c r="F132" s="32">
        <f>"'Daily Inventory (Live Formulas)'!M60 — Raw data, no formula"</f>
        <v/>
      </c>
      <c r="G132" s="33" t="inlineStr">
        <is>
          <t>Raw Data</t>
        </is>
      </c>
      <c r="H132" s="25" t="inlineStr"/>
    </row>
    <row r="133" ht="22" customHeight="1">
      <c r="A133" s="28" t="inlineStr"/>
      <c r="B133" s="29" t="inlineStr"/>
      <c r="C133" s="25" t="inlineStr"/>
      <c r="D133" s="25" t="inlineStr">
        <is>
          <t>Volume of Available Product (BBLs)</t>
        </is>
      </c>
      <c r="E133" s="23" t="inlineStr">
        <is>
          <t>N</t>
        </is>
      </c>
      <c r="F133" s="26">
        <f>'Daily Inventory (Live Formulas)'!N60+'Daily Inventory (Live Formulas)'!N61</f>
        <v/>
      </c>
      <c r="G133" s="27" t="inlineStr">
        <is>
          <t>SUM</t>
        </is>
      </c>
      <c r="H133" s="25" t="inlineStr"/>
    </row>
    <row r="134" ht="22" customHeight="1">
      <c r="A134" s="28" t="inlineStr"/>
      <c r="B134" s="29" t="inlineStr"/>
      <c r="C134" s="25" t="inlineStr"/>
      <c r="D134" s="25" t="inlineStr">
        <is>
          <t>Remaining Capacity (BBLs)</t>
        </is>
      </c>
      <c r="E134" s="23" t="inlineStr">
        <is>
          <t>O</t>
        </is>
      </c>
      <c r="F134" s="26">
        <f>'Daily Inventory (Live Formulas)'!O60+'Daily Inventory (Live Formulas)'!O61</f>
        <v/>
      </c>
      <c r="G134" s="27" t="inlineStr">
        <is>
          <t>SUM</t>
        </is>
      </c>
      <c r="H134" s="25" t="inlineStr"/>
    </row>
    <row r="135" ht="22" customHeight="1">
      <c r="A135" s="28" t="inlineStr"/>
      <c r="B135" s="29" t="inlineStr"/>
      <c r="C135" s="25" t="inlineStr"/>
      <c r="D135" s="25" t="inlineStr">
        <is>
          <t>Inventory Change Net Vol (BBLs)</t>
        </is>
      </c>
      <c r="E135" s="23" t="inlineStr">
        <is>
          <t>P</t>
        </is>
      </c>
      <c r="F135" s="26">
        <f>'Daily Inventory (Live Formulas)'!P60+'Daily Inventory (Live Formulas)'!P61</f>
        <v/>
      </c>
      <c r="G135" s="27" t="inlineStr">
        <is>
          <t>SUM</t>
        </is>
      </c>
      <c r="H135" s="25" t="inlineStr"/>
    </row>
    <row r="136" ht="22" customHeight="1">
      <c r="A136" s="7" t="n">
        <v>12</v>
      </c>
      <c r="B136" s="5" t="inlineStr">
        <is>
          <t>Acc_HighSulSlurry</t>
        </is>
      </c>
      <c r="C136" s="6" t="inlineStr">
        <is>
          <t>High Sulfur Slurry</t>
        </is>
      </c>
      <c r="D136" s="6" t="inlineStr">
        <is>
          <t>Opening Net Volume (BBLs)</t>
        </is>
      </c>
      <c r="E136" s="7" t="inlineStr">
        <is>
          <t>E</t>
        </is>
      </c>
      <c r="F136" s="26">
        <f>'Daily Inventory (Live Formulas)'!E64</f>
        <v/>
      </c>
      <c r="G136" s="27" t="inlineStr">
        <is>
          <t>SUM</t>
        </is>
      </c>
      <c r="H136" s="6" t="inlineStr">
        <is>
          <t>TK22</t>
        </is>
      </c>
    </row>
    <row r="137" ht="22" customHeight="1">
      <c r="A137" s="34" t="inlineStr"/>
      <c r="B137" s="4" t="inlineStr"/>
      <c r="C137" s="6" t="inlineStr"/>
      <c r="D137" s="6" t="inlineStr">
        <is>
          <t>Opening Gravity</t>
        </is>
      </c>
      <c r="E137" s="7" t="inlineStr">
        <is>
          <t>F</t>
        </is>
      </c>
      <c r="F137" s="30">
        <f>AVERAGE('Daily Inventory (Live Formulas)'!F64)</f>
        <v/>
      </c>
      <c r="G137" s="31" t="inlineStr">
        <is>
          <t>AVERAGE</t>
        </is>
      </c>
      <c r="H137" s="6" t="inlineStr"/>
    </row>
    <row r="138" ht="22" customHeight="1">
      <c r="A138" s="34" t="inlineStr"/>
      <c r="B138" s="4" t="inlineStr"/>
      <c r="C138" s="6" t="inlineStr"/>
      <c r="D138" s="6" t="inlineStr">
        <is>
          <t>Closing Net Volume (BBLs)</t>
        </is>
      </c>
      <c r="E138" s="7" t="inlineStr">
        <is>
          <t>G</t>
        </is>
      </c>
      <c r="F138" s="26">
        <f>'Daily Inventory (Live Formulas)'!G64</f>
        <v/>
      </c>
      <c r="G138" s="27" t="inlineStr">
        <is>
          <t>SUM</t>
        </is>
      </c>
      <c r="H138" s="6" t="inlineStr"/>
    </row>
    <row r="139" ht="22" customHeight="1">
      <c r="A139" s="34" t="inlineStr"/>
      <c r="B139" s="4" t="inlineStr"/>
      <c r="C139" s="6" t="inlineStr"/>
      <c r="D139" s="6" t="inlineStr">
        <is>
          <t>Closing Gross Volume (BBLs)</t>
        </is>
      </c>
      <c r="E139" s="7" t="inlineStr">
        <is>
          <t>H</t>
        </is>
      </c>
      <c r="F139" s="26">
        <f>'Daily Inventory (Live Formulas)'!H64</f>
        <v/>
      </c>
      <c r="G139" s="27" t="inlineStr">
        <is>
          <t>SUM</t>
        </is>
      </c>
      <c r="H139" s="6" t="inlineStr"/>
    </row>
    <row r="140" ht="22" customHeight="1">
      <c r="A140" s="34" t="inlineStr"/>
      <c r="B140" s="4" t="inlineStr"/>
      <c r="C140" s="6" t="inlineStr"/>
      <c r="D140" s="6" t="inlineStr">
        <is>
          <t>Level Feet</t>
        </is>
      </c>
      <c r="E140" s="7" t="inlineStr">
        <is>
          <t>I</t>
        </is>
      </c>
      <c r="F140" s="32">
        <f>"'Daily Inventory (Live Formulas)'!I64 — Raw data, no formula"</f>
        <v/>
      </c>
      <c r="G140" s="33" t="inlineStr">
        <is>
          <t>Raw Data</t>
        </is>
      </c>
      <c r="H140" s="6" t="inlineStr"/>
    </row>
    <row r="141" ht="22" customHeight="1">
      <c r="A141" s="34" t="inlineStr"/>
      <c r="B141" s="4" t="inlineStr"/>
      <c r="C141" s="6" t="inlineStr"/>
      <c r="D141" s="6" t="inlineStr">
        <is>
          <t>Gravity (Closing)</t>
        </is>
      </c>
      <c r="E141" s="7" t="inlineStr">
        <is>
          <t>J</t>
        </is>
      </c>
      <c r="F141" s="30">
        <f>AVERAGE('Daily Inventory (Live Formulas)'!J64)</f>
        <v/>
      </c>
      <c r="G141" s="31" t="inlineStr">
        <is>
          <t>AVERAGE</t>
        </is>
      </c>
      <c r="H141" s="6" t="inlineStr"/>
    </row>
    <row r="142" ht="22" customHeight="1">
      <c r="A142" s="34" t="inlineStr"/>
      <c r="B142" s="4" t="inlineStr"/>
      <c r="C142" s="6" t="inlineStr"/>
      <c r="D142" s="6" t="inlineStr">
        <is>
          <t>Temperature</t>
        </is>
      </c>
      <c r="E142" s="7" t="inlineStr">
        <is>
          <t>K</t>
        </is>
      </c>
      <c r="F142" s="32">
        <f>"'Daily Inventory (Live Formulas)'!K64 — Raw data, no formula"</f>
        <v/>
      </c>
      <c r="G142" s="33" t="inlineStr">
        <is>
          <t>Raw Data</t>
        </is>
      </c>
      <c r="H142" s="6" t="inlineStr"/>
    </row>
    <row r="143" ht="22" customHeight="1">
      <c r="A143" s="34" t="inlineStr"/>
      <c r="B143" s="4" t="inlineStr"/>
      <c r="C143" s="6" t="inlineStr"/>
      <c r="D143" s="6" t="inlineStr">
        <is>
          <t>Total Water (BBLs)</t>
        </is>
      </c>
      <c r="E143" s="7" t="inlineStr">
        <is>
          <t>L</t>
        </is>
      </c>
      <c r="F143" s="26">
        <f>'Daily Inventory (Live Formulas)'!L64</f>
        <v/>
      </c>
      <c r="G143" s="27" t="inlineStr">
        <is>
          <t>SUM</t>
        </is>
      </c>
      <c r="H143" s="6" t="inlineStr"/>
    </row>
    <row r="144" ht="22" customHeight="1">
      <c r="A144" s="34" t="inlineStr"/>
      <c r="B144" s="4" t="inlineStr"/>
      <c r="C144" s="6" t="inlineStr"/>
      <c r="D144" s="6" t="inlineStr">
        <is>
          <t>BSW Feet</t>
        </is>
      </c>
      <c r="E144" s="7" t="inlineStr">
        <is>
          <t>M</t>
        </is>
      </c>
      <c r="F144" s="32">
        <f>"'Daily Inventory (Live Formulas)'!M64 — Raw data, no formula"</f>
        <v/>
      </c>
      <c r="G144" s="33" t="inlineStr">
        <is>
          <t>Raw Data</t>
        </is>
      </c>
      <c r="H144" s="6" t="inlineStr"/>
    </row>
    <row r="145" ht="22" customHeight="1">
      <c r="A145" s="34" t="inlineStr"/>
      <c r="B145" s="4" t="inlineStr"/>
      <c r="C145" s="6" t="inlineStr"/>
      <c r="D145" s="6" t="inlineStr">
        <is>
          <t>Volume of Available Product (BBLs)</t>
        </is>
      </c>
      <c r="E145" s="7" t="inlineStr">
        <is>
          <t>N</t>
        </is>
      </c>
      <c r="F145" s="26">
        <f>'Daily Inventory (Live Formulas)'!N64</f>
        <v/>
      </c>
      <c r="G145" s="27" t="inlineStr">
        <is>
          <t>SUM</t>
        </is>
      </c>
      <c r="H145" s="6" t="inlineStr"/>
    </row>
    <row r="146" ht="22" customHeight="1">
      <c r="A146" s="34" t="inlineStr"/>
      <c r="B146" s="4" t="inlineStr"/>
      <c r="C146" s="6" t="inlineStr"/>
      <c r="D146" s="6" t="inlineStr">
        <is>
          <t>Remaining Capacity (BBLs)</t>
        </is>
      </c>
      <c r="E146" s="7" t="inlineStr">
        <is>
          <t>O</t>
        </is>
      </c>
      <c r="F146" s="26">
        <f>'Daily Inventory (Live Formulas)'!O64</f>
        <v/>
      </c>
      <c r="G146" s="27" t="inlineStr">
        <is>
          <t>SUM</t>
        </is>
      </c>
      <c r="H146" s="6" t="inlineStr"/>
    </row>
    <row r="147" ht="22" customHeight="1">
      <c r="A147" s="34" t="inlineStr"/>
      <c r="B147" s="4" t="inlineStr"/>
      <c r="C147" s="6" t="inlineStr"/>
      <c r="D147" s="6" t="inlineStr">
        <is>
          <t>Inventory Change Net Vol (BBLs)</t>
        </is>
      </c>
      <c r="E147" s="7" t="inlineStr">
        <is>
          <t>P</t>
        </is>
      </c>
      <c r="F147" s="26">
        <f>'Daily Inventory (Live Formulas)'!P64</f>
        <v/>
      </c>
      <c r="G147" s="27" t="inlineStr">
        <is>
          <t>SUM</t>
        </is>
      </c>
      <c r="H147" s="6" t="inlineStr"/>
    </row>
    <row r="148" ht="22" customHeight="1">
      <c r="A148" s="23" t="n">
        <v>13</v>
      </c>
      <c r="B148" s="24" t="inlineStr">
        <is>
          <t>Acc_HSFO</t>
        </is>
      </c>
      <c r="C148" s="25" t="inlineStr">
        <is>
          <t>High Sulfur Fuel Oil</t>
        </is>
      </c>
      <c r="D148" s="25" t="inlineStr">
        <is>
          <t>Opening Net Volume (BBLs)</t>
        </is>
      </c>
      <c r="E148" s="23" t="inlineStr">
        <is>
          <t>E</t>
        </is>
      </c>
      <c r="F148" s="26">
        <f>'Daily Inventory (Live Formulas)'!E67</f>
        <v/>
      </c>
      <c r="G148" s="27" t="inlineStr">
        <is>
          <t>SUM</t>
        </is>
      </c>
      <c r="H148" s="25" t="inlineStr">
        <is>
          <t>TK23</t>
        </is>
      </c>
    </row>
    <row r="149" ht="22" customHeight="1">
      <c r="A149" s="28" t="inlineStr"/>
      <c r="B149" s="29" t="inlineStr"/>
      <c r="C149" s="25" t="inlineStr"/>
      <c r="D149" s="25" t="inlineStr">
        <is>
          <t>Opening Gravity</t>
        </is>
      </c>
      <c r="E149" s="23" t="inlineStr">
        <is>
          <t>F</t>
        </is>
      </c>
      <c r="F149" s="30">
        <f>AVERAGE('Daily Inventory (Live Formulas)'!F67)</f>
        <v/>
      </c>
      <c r="G149" s="31" t="inlineStr">
        <is>
          <t>AVERAGE</t>
        </is>
      </c>
      <c r="H149" s="25" t="inlineStr"/>
    </row>
    <row r="150" ht="22" customHeight="1">
      <c r="A150" s="28" t="inlineStr"/>
      <c r="B150" s="29" t="inlineStr"/>
      <c r="C150" s="25" t="inlineStr"/>
      <c r="D150" s="25" t="inlineStr">
        <is>
          <t>Closing Net Volume (BBLs)</t>
        </is>
      </c>
      <c r="E150" s="23" t="inlineStr">
        <is>
          <t>G</t>
        </is>
      </c>
      <c r="F150" s="26">
        <f>'Daily Inventory (Live Formulas)'!G67</f>
        <v/>
      </c>
      <c r="G150" s="27" t="inlineStr">
        <is>
          <t>SUM</t>
        </is>
      </c>
      <c r="H150" s="25" t="inlineStr"/>
    </row>
    <row r="151" ht="22" customHeight="1">
      <c r="A151" s="28" t="inlineStr"/>
      <c r="B151" s="29" t="inlineStr"/>
      <c r="C151" s="25" t="inlineStr"/>
      <c r="D151" s="25" t="inlineStr">
        <is>
          <t>Closing Gross Volume (BBLs)</t>
        </is>
      </c>
      <c r="E151" s="23" t="inlineStr">
        <is>
          <t>H</t>
        </is>
      </c>
      <c r="F151" s="26">
        <f>'Daily Inventory (Live Formulas)'!H67</f>
        <v/>
      </c>
      <c r="G151" s="27" t="inlineStr">
        <is>
          <t>SUM</t>
        </is>
      </c>
      <c r="H151" s="25" t="inlineStr"/>
    </row>
    <row r="152" ht="22" customHeight="1">
      <c r="A152" s="28" t="inlineStr"/>
      <c r="B152" s="29" t="inlineStr"/>
      <c r="C152" s="25" t="inlineStr"/>
      <c r="D152" s="25" t="inlineStr">
        <is>
          <t>Level Feet</t>
        </is>
      </c>
      <c r="E152" s="23" t="inlineStr">
        <is>
          <t>I</t>
        </is>
      </c>
      <c r="F152" s="32">
        <f>"'Daily Inventory (Live Formulas)'!I67 — Raw data, no formula"</f>
        <v/>
      </c>
      <c r="G152" s="33" t="inlineStr">
        <is>
          <t>Raw Data</t>
        </is>
      </c>
      <c r="H152" s="25" t="inlineStr"/>
    </row>
    <row r="153" ht="22" customHeight="1">
      <c r="A153" s="28" t="inlineStr"/>
      <c r="B153" s="29" t="inlineStr"/>
      <c r="C153" s="25" t="inlineStr"/>
      <c r="D153" s="25" t="inlineStr">
        <is>
          <t>Gravity (Closing)</t>
        </is>
      </c>
      <c r="E153" s="23" t="inlineStr">
        <is>
          <t>J</t>
        </is>
      </c>
      <c r="F153" s="30">
        <f>AVERAGE('Daily Inventory (Live Formulas)'!J67)</f>
        <v/>
      </c>
      <c r="G153" s="31" t="inlineStr">
        <is>
          <t>AVERAGE</t>
        </is>
      </c>
      <c r="H153" s="25" t="inlineStr"/>
    </row>
    <row r="154" ht="22" customHeight="1">
      <c r="A154" s="28" t="inlineStr"/>
      <c r="B154" s="29" t="inlineStr"/>
      <c r="C154" s="25" t="inlineStr"/>
      <c r="D154" s="25" t="inlineStr">
        <is>
          <t>Temperature</t>
        </is>
      </c>
      <c r="E154" s="23" t="inlineStr">
        <is>
          <t>K</t>
        </is>
      </c>
      <c r="F154" s="32">
        <f>"'Daily Inventory (Live Formulas)'!K67 — Raw data, no formula"</f>
        <v/>
      </c>
      <c r="G154" s="33" t="inlineStr">
        <is>
          <t>Raw Data</t>
        </is>
      </c>
      <c r="H154" s="25" t="inlineStr"/>
    </row>
    <row r="155" ht="22" customHeight="1">
      <c r="A155" s="28" t="inlineStr"/>
      <c r="B155" s="29" t="inlineStr"/>
      <c r="C155" s="25" t="inlineStr"/>
      <c r="D155" s="25" t="inlineStr">
        <is>
          <t>Total Water (BBLs)</t>
        </is>
      </c>
      <c r="E155" s="23" t="inlineStr">
        <is>
          <t>L</t>
        </is>
      </c>
      <c r="F155" s="26">
        <f>'Daily Inventory (Live Formulas)'!L67</f>
        <v/>
      </c>
      <c r="G155" s="27" t="inlineStr">
        <is>
          <t>SUM</t>
        </is>
      </c>
      <c r="H155" s="25" t="inlineStr"/>
    </row>
    <row r="156" ht="22" customHeight="1">
      <c r="A156" s="28" t="inlineStr"/>
      <c r="B156" s="29" t="inlineStr"/>
      <c r="C156" s="25" t="inlineStr"/>
      <c r="D156" s="25" t="inlineStr">
        <is>
          <t>BSW Feet</t>
        </is>
      </c>
      <c r="E156" s="23" t="inlineStr">
        <is>
          <t>M</t>
        </is>
      </c>
      <c r="F156" s="32">
        <f>"'Daily Inventory (Live Formulas)'!M67 — Raw data, no formula"</f>
        <v/>
      </c>
      <c r="G156" s="33" t="inlineStr">
        <is>
          <t>Raw Data</t>
        </is>
      </c>
      <c r="H156" s="25" t="inlineStr"/>
    </row>
    <row r="157" ht="22" customHeight="1">
      <c r="A157" s="28" t="inlineStr"/>
      <c r="B157" s="29" t="inlineStr"/>
      <c r="C157" s="25" t="inlineStr"/>
      <c r="D157" s="25" t="inlineStr">
        <is>
          <t>Volume of Available Product (BBLs)</t>
        </is>
      </c>
      <c r="E157" s="23" t="inlineStr">
        <is>
          <t>N</t>
        </is>
      </c>
      <c r="F157" s="26">
        <f>'Daily Inventory (Live Formulas)'!N67</f>
        <v/>
      </c>
      <c r="G157" s="27" t="inlineStr">
        <is>
          <t>SUM</t>
        </is>
      </c>
      <c r="H157" s="25" t="inlineStr"/>
    </row>
    <row r="158" ht="22" customHeight="1">
      <c r="A158" s="28" t="inlineStr"/>
      <c r="B158" s="29" t="inlineStr"/>
      <c r="C158" s="25" t="inlineStr"/>
      <c r="D158" s="25" t="inlineStr">
        <is>
          <t>Remaining Capacity (BBLs)</t>
        </is>
      </c>
      <c r="E158" s="23" t="inlineStr">
        <is>
          <t>O</t>
        </is>
      </c>
      <c r="F158" s="26">
        <f>'Daily Inventory (Live Formulas)'!O67</f>
        <v/>
      </c>
      <c r="G158" s="27" t="inlineStr">
        <is>
          <t>SUM</t>
        </is>
      </c>
      <c r="H158" s="25" t="inlineStr"/>
    </row>
    <row r="159" ht="22" customHeight="1">
      <c r="A159" s="28" t="inlineStr"/>
      <c r="B159" s="29" t="inlineStr"/>
      <c r="C159" s="25" t="inlineStr"/>
      <c r="D159" s="25" t="inlineStr">
        <is>
          <t>Inventory Change Net Vol (BBLs)</t>
        </is>
      </c>
      <c r="E159" s="23" t="inlineStr">
        <is>
          <t>P</t>
        </is>
      </c>
      <c r="F159" s="26">
        <f>'Daily Inventory (Live Formulas)'!P67</f>
        <v/>
      </c>
      <c r="G159" s="27" t="inlineStr">
        <is>
          <t>SUM</t>
        </is>
      </c>
      <c r="H159" s="25" t="inlineStr"/>
    </row>
    <row r="160" ht="22" customHeight="1">
      <c r="A160" s="7" t="n">
        <v>14</v>
      </c>
      <c r="B160" s="5" t="inlineStr">
        <is>
          <t>Acc_HSVGO</t>
        </is>
      </c>
      <c r="C160" s="6" t="inlineStr">
        <is>
          <t>High Sulfur Vaccum Gas Oil</t>
        </is>
      </c>
      <c r="D160" s="6" t="inlineStr">
        <is>
          <t>Opening Net Volume (BBLs)</t>
        </is>
      </c>
      <c r="E160" s="7" t="inlineStr">
        <is>
          <t>E</t>
        </is>
      </c>
      <c r="F160" s="26">
        <f>'Daily Inventory (Live Formulas)'!E70+'Daily Inventory (Live Formulas)'!E71+'Daily Inventory (Live Formulas)'!E72+'Daily Inventory (Live Formulas)'!E73</f>
        <v/>
      </c>
      <c r="G160" s="27" t="inlineStr">
        <is>
          <t>SUM</t>
        </is>
      </c>
      <c r="H160" s="6" t="inlineStr">
        <is>
          <t>TK24, TK25, TK26, TK61</t>
        </is>
      </c>
    </row>
    <row r="161" ht="22" customHeight="1">
      <c r="A161" s="34" t="inlineStr"/>
      <c r="B161" s="4" t="inlineStr"/>
      <c r="C161" s="6" t="inlineStr"/>
      <c r="D161" s="6" t="inlineStr">
        <is>
          <t>Opening Gravity</t>
        </is>
      </c>
      <c r="E161" s="7" t="inlineStr">
        <is>
          <t>F</t>
        </is>
      </c>
      <c r="F161" s="30">
        <f>AVERAGE('Daily Inventory (Live Formulas)'!F70,'Daily Inventory (Live Formulas)'!F71,'Daily Inventory (Live Formulas)'!F72,'Daily Inventory (Live Formulas)'!F73)</f>
        <v/>
      </c>
      <c r="G161" s="31" t="inlineStr">
        <is>
          <t>AVERAGE</t>
        </is>
      </c>
      <c r="H161" s="6" t="inlineStr"/>
    </row>
    <row r="162" ht="22" customHeight="1">
      <c r="A162" s="34" t="inlineStr"/>
      <c r="B162" s="4" t="inlineStr"/>
      <c r="C162" s="6" t="inlineStr"/>
      <c r="D162" s="6" t="inlineStr">
        <is>
          <t>Closing Net Volume (BBLs)</t>
        </is>
      </c>
      <c r="E162" s="7" t="inlineStr">
        <is>
          <t>G</t>
        </is>
      </c>
      <c r="F162" s="26">
        <f>'Daily Inventory (Live Formulas)'!G70+'Daily Inventory (Live Formulas)'!G71+'Daily Inventory (Live Formulas)'!G72+'Daily Inventory (Live Formulas)'!G73</f>
        <v/>
      </c>
      <c r="G162" s="27" t="inlineStr">
        <is>
          <t>SUM</t>
        </is>
      </c>
      <c r="H162" s="6" t="inlineStr"/>
    </row>
    <row r="163" ht="22" customHeight="1">
      <c r="A163" s="34" t="inlineStr"/>
      <c r="B163" s="4" t="inlineStr"/>
      <c r="C163" s="6" t="inlineStr"/>
      <c r="D163" s="6" t="inlineStr">
        <is>
          <t>Closing Gross Volume (BBLs)</t>
        </is>
      </c>
      <c r="E163" s="7" t="inlineStr">
        <is>
          <t>H</t>
        </is>
      </c>
      <c r="F163" s="26">
        <f>'Daily Inventory (Live Formulas)'!H70+'Daily Inventory (Live Formulas)'!H71+'Daily Inventory (Live Formulas)'!H72+'Daily Inventory (Live Formulas)'!H73</f>
        <v/>
      </c>
      <c r="G163" s="27" t="inlineStr">
        <is>
          <t>SUM</t>
        </is>
      </c>
      <c r="H163" s="6" t="inlineStr"/>
    </row>
    <row r="164" ht="22" customHeight="1">
      <c r="A164" s="34" t="inlineStr"/>
      <c r="B164" s="4" t="inlineStr"/>
      <c r="C164" s="6" t="inlineStr"/>
      <c r="D164" s="6" t="inlineStr">
        <is>
          <t>Level Feet</t>
        </is>
      </c>
      <c r="E164" s="7" t="inlineStr">
        <is>
          <t>I</t>
        </is>
      </c>
      <c r="F164" s="32">
        <f>"'Daily Inventory (Live Formulas)'!I70 — Raw data, no formula"</f>
        <v/>
      </c>
      <c r="G164" s="33" t="inlineStr">
        <is>
          <t>Raw Data</t>
        </is>
      </c>
      <c r="H164" s="6" t="inlineStr"/>
    </row>
    <row r="165" ht="22" customHeight="1">
      <c r="A165" s="34" t="inlineStr"/>
      <c r="B165" s="4" t="inlineStr"/>
      <c r="C165" s="6" t="inlineStr"/>
      <c r="D165" s="6" t="inlineStr">
        <is>
          <t>Gravity (Closing)</t>
        </is>
      </c>
      <c r="E165" s="7" t="inlineStr">
        <is>
          <t>J</t>
        </is>
      </c>
      <c r="F165" s="30">
        <f>AVERAGE('Daily Inventory (Live Formulas)'!J70,'Daily Inventory (Live Formulas)'!J71,'Daily Inventory (Live Formulas)'!J72,'Daily Inventory (Live Formulas)'!J73)</f>
        <v/>
      </c>
      <c r="G165" s="31" t="inlineStr">
        <is>
          <t>AVERAGE</t>
        </is>
      </c>
      <c r="H165" s="6" t="inlineStr"/>
    </row>
    <row r="166" ht="22" customHeight="1">
      <c r="A166" s="34" t="inlineStr"/>
      <c r="B166" s="4" t="inlineStr"/>
      <c r="C166" s="6" t="inlineStr"/>
      <c r="D166" s="6" t="inlineStr">
        <is>
          <t>Temperature</t>
        </is>
      </c>
      <c r="E166" s="7" t="inlineStr">
        <is>
          <t>K</t>
        </is>
      </c>
      <c r="F166" s="32">
        <f>"'Daily Inventory (Live Formulas)'!K70 — Raw data, no formula"</f>
        <v/>
      </c>
      <c r="G166" s="33" t="inlineStr">
        <is>
          <t>Raw Data</t>
        </is>
      </c>
      <c r="H166" s="6" t="inlineStr"/>
    </row>
    <row r="167" ht="22" customHeight="1">
      <c r="A167" s="34" t="inlineStr"/>
      <c r="B167" s="4" t="inlineStr"/>
      <c r="C167" s="6" t="inlineStr"/>
      <c r="D167" s="6" t="inlineStr">
        <is>
          <t>Total Water (BBLs)</t>
        </is>
      </c>
      <c r="E167" s="7" t="inlineStr">
        <is>
          <t>L</t>
        </is>
      </c>
      <c r="F167" s="26">
        <f>'Daily Inventory (Live Formulas)'!L70+'Daily Inventory (Live Formulas)'!L71+'Daily Inventory (Live Formulas)'!L72+'Daily Inventory (Live Formulas)'!L73</f>
        <v/>
      </c>
      <c r="G167" s="27" t="inlineStr">
        <is>
          <t>SUM</t>
        </is>
      </c>
      <c r="H167" s="6" t="inlineStr"/>
    </row>
    <row r="168" ht="22" customHeight="1">
      <c r="A168" s="34" t="inlineStr"/>
      <c r="B168" s="4" t="inlineStr"/>
      <c r="C168" s="6" t="inlineStr"/>
      <c r="D168" s="6" t="inlineStr">
        <is>
          <t>BSW Feet</t>
        </is>
      </c>
      <c r="E168" s="7" t="inlineStr">
        <is>
          <t>M</t>
        </is>
      </c>
      <c r="F168" s="32">
        <f>"'Daily Inventory (Live Formulas)'!M70 — Raw data, no formula"</f>
        <v/>
      </c>
      <c r="G168" s="33" t="inlineStr">
        <is>
          <t>Raw Data</t>
        </is>
      </c>
      <c r="H168" s="6" t="inlineStr"/>
    </row>
    <row r="169" ht="22" customHeight="1">
      <c r="A169" s="34" t="inlineStr"/>
      <c r="B169" s="4" t="inlineStr"/>
      <c r="C169" s="6" t="inlineStr"/>
      <c r="D169" s="6" t="inlineStr">
        <is>
          <t>Volume of Available Product (BBLs)</t>
        </is>
      </c>
      <c r="E169" s="7" t="inlineStr">
        <is>
          <t>N</t>
        </is>
      </c>
      <c r="F169" s="26">
        <f>'Daily Inventory (Live Formulas)'!N70+'Daily Inventory (Live Formulas)'!N71+'Daily Inventory (Live Formulas)'!N72+'Daily Inventory (Live Formulas)'!N73</f>
        <v/>
      </c>
      <c r="G169" s="27" t="inlineStr">
        <is>
          <t>SUM</t>
        </is>
      </c>
      <c r="H169" s="6" t="inlineStr"/>
    </row>
    <row r="170" ht="22" customHeight="1">
      <c r="A170" s="34" t="inlineStr"/>
      <c r="B170" s="4" t="inlineStr"/>
      <c r="C170" s="6" t="inlineStr"/>
      <c r="D170" s="6" t="inlineStr">
        <is>
          <t>Remaining Capacity (BBLs)</t>
        </is>
      </c>
      <c r="E170" s="7" t="inlineStr">
        <is>
          <t>O</t>
        </is>
      </c>
      <c r="F170" s="26">
        <f>'Daily Inventory (Live Formulas)'!O70+'Daily Inventory (Live Formulas)'!O71+'Daily Inventory (Live Formulas)'!O72+'Daily Inventory (Live Formulas)'!O73</f>
        <v/>
      </c>
      <c r="G170" s="27" t="inlineStr">
        <is>
          <t>SUM</t>
        </is>
      </c>
      <c r="H170" s="6" t="inlineStr"/>
    </row>
    <row r="171" ht="22" customHeight="1">
      <c r="A171" s="34" t="inlineStr"/>
      <c r="B171" s="4" t="inlineStr"/>
      <c r="C171" s="6" t="inlineStr"/>
      <c r="D171" s="6" t="inlineStr">
        <is>
          <t>Inventory Change Net Vol (BBLs)</t>
        </is>
      </c>
      <c r="E171" s="7" t="inlineStr">
        <is>
          <t>P</t>
        </is>
      </c>
      <c r="F171" s="26">
        <f>'Daily Inventory (Live Formulas)'!P70+'Daily Inventory (Live Formulas)'!P71+'Daily Inventory (Live Formulas)'!P72+'Daily Inventory (Live Formulas)'!P73</f>
        <v/>
      </c>
      <c r="G171" s="27" t="inlineStr">
        <is>
          <t>SUM</t>
        </is>
      </c>
      <c r="H171" s="6" t="inlineStr"/>
    </row>
    <row r="172" ht="22" customHeight="1">
      <c r="A172" s="23" t="n">
        <v>15</v>
      </c>
      <c r="B172" s="24" t="inlineStr">
        <is>
          <t>Acc_HvyCatGasoline</t>
        </is>
      </c>
      <c r="C172" s="25" t="inlineStr">
        <is>
          <t>Heavy Cat Gasoline</t>
        </is>
      </c>
      <c r="D172" s="25" t="inlineStr">
        <is>
          <t>Opening Net Volume (BBLs)</t>
        </is>
      </c>
      <c r="E172" s="23" t="inlineStr">
        <is>
          <t>E</t>
        </is>
      </c>
      <c r="F172" s="26">
        <f>'Daily Inventory (Live Formulas)'!E76</f>
        <v/>
      </c>
      <c r="G172" s="27" t="inlineStr">
        <is>
          <t>SUM</t>
        </is>
      </c>
      <c r="H172" s="25" t="inlineStr">
        <is>
          <t>TK71</t>
        </is>
      </c>
    </row>
    <row r="173" ht="22" customHeight="1">
      <c r="A173" s="28" t="inlineStr"/>
      <c r="B173" s="29" t="inlineStr"/>
      <c r="C173" s="25" t="inlineStr"/>
      <c r="D173" s="25" t="inlineStr">
        <is>
          <t>Opening Gravity</t>
        </is>
      </c>
      <c r="E173" s="23" t="inlineStr">
        <is>
          <t>F</t>
        </is>
      </c>
      <c r="F173" s="30">
        <f>AVERAGE('Daily Inventory (Live Formulas)'!F76)</f>
        <v/>
      </c>
      <c r="G173" s="31" t="inlineStr">
        <is>
          <t>AVERAGE</t>
        </is>
      </c>
      <c r="H173" s="25" t="inlineStr"/>
    </row>
    <row r="174" ht="22" customHeight="1">
      <c r="A174" s="28" t="inlineStr"/>
      <c r="B174" s="29" t="inlineStr"/>
      <c r="C174" s="25" t="inlineStr"/>
      <c r="D174" s="25" t="inlineStr">
        <is>
          <t>Closing Net Volume (BBLs)</t>
        </is>
      </c>
      <c r="E174" s="23" t="inlineStr">
        <is>
          <t>G</t>
        </is>
      </c>
      <c r="F174" s="26">
        <f>'Daily Inventory (Live Formulas)'!G76</f>
        <v/>
      </c>
      <c r="G174" s="27" t="inlineStr">
        <is>
          <t>SUM</t>
        </is>
      </c>
      <c r="H174" s="25" t="inlineStr"/>
    </row>
    <row r="175" ht="22" customHeight="1">
      <c r="A175" s="28" t="inlineStr"/>
      <c r="B175" s="29" t="inlineStr"/>
      <c r="C175" s="25" t="inlineStr"/>
      <c r="D175" s="25" t="inlineStr">
        <is>
          <t>Closing Gross Volume (BBLs)</t>
        </is>
      </c>
      <c r="E175" s="23" t="inlineStr">
        <is>
          <t>H</t>
        </is>
      </c>
      <c r="F175" s="26">
        <f>'Daily Inventory (Live Formulas)'!H76</f>
        <v/>
      </c>
      <c r="G175" s="27" t="inlineStr">
        <is>
          <t>SUM</t>
        </is>
      </c>
      <c r="H175" s="25" t="inlineStr"/>
    </row>
    <row r="176" ht="22" customHeight="1">
      <c r="A176" s="28" t="inlineStr"/>
      <c r="B176" s="29" t="inlineStr"/>
      <c r="C176" s="25" t="inlineStr"/>
      <c r="D176" s="25" t="inlineStr">
        <is>
          <t>Level Feet</t>
        </is>
      </c>
      <c r="E176" s="23" t="inlineStr">
        <is>
          <t>I</t>
        </is>
      </c>
      <c r="F176" s="32">
        <f>"'Daily Inventory (Live Formulas)'!I76 — Raw data, no formula"</f>
        <v/>
      </c>
      <c r="G176" s="33" t="inlineStr">
        <is>
          <t>Raw Data</t>
        </is>
      </c>
      <c r="H176" s="25" t="inlineStr"/>
    </row>
    <row r="177" ht="22" customHeight="1">
      <c r="A177" s="28" t="inlineStr"/>
      <c r="B177" s="29" t="inlineStr"/>
      <c r="C177" s="25" t="inlineStr"/>
      <c r="D177" s="25" t="inlineStr">
        <is>
          <t>Gravity (Closing)</t>
        </is>
      </c>
      <c r="E177" s="23" t="inlineStr">
        <is>
          <t>J</t>
        </is>
      </c>
      <c r="F177" s="30">
        <f>AVERAGE('Daily Inventory (Live Formulas)'!J76)</f>
        <v/>
      </c>
      <c r="G177" s="31" t="inlineStr">
        <is>
          <t>AVERAGE</t>
        </is>
      </c>
      <c r="H177" s="25" t="inlineStr"/>
    </row>
    <row r="178" ht="22" customHeight="1">
      <c r="A178" s="28" t="inlineStr"/>
      <c r="B178" s="29" t="inlineStr"/>
      <c r="C178" s="25" t="inlineStr"/>
      <c r="D178" s="25" t="inlineStr">
        <is>
          <t>Temperature</t>
        </is>
      </c>
      <c r="E178" s="23" t="inlineStr">
        <is>
          <t>K</t>
        </is>
      </c>
      <c r="F178" s="32">
        <f>"'Daily Inventory (Live Formulas)'!K76 — Raw data, no formula"</f>
        <v/>
      </c>
      <c r="G178" s="33" t="inlineStr">
        <is>
          <t>Raw Data</t>
        </is>
      </c>
      <c r="H178" s="25" t="inlineStr"/>
    </row>
    <row r="179" ht="22" customHeight="1">
      <c r="A179" s="28" t="inlineStr"/>
      <c r="B179" s="29" t="inlineStr"/>
      <c r="C179" s="25" t="inlineStr"/>
      <c r="D179" s="25" t="inlineStr">
        <is>
          <t>Total Water (BBLs)</t>
        </is>
      </c>
      <c r="E179" s="23" t="inlineStr">
        <is>
          <t>L</t>
        </is>
      </c>
      <c r="F179" s="26">
        <f>'Daily Inventory (Live Formulas)'!L76</f>
        <v/>
      </c>
      <c r="G179" s="27" t="inlineStr">
        <is>
          <t>SUM</t>
        </is>
      </c>
      <c r="H179" s="25" t="inlineStr"/>
    </row>
    <row r="180" ht="22" customHeight="1">
      <c r="A180" s="28" t="inlineStr"/>
      <c r="B180" s="29" t="inlineStr"/>
      <c r="C180" s="25" t="inlineStr"/>
      <c r="D180" s="25" t="inlineStr">
        <is>
          <t>BSW Feet</t>
        </is>
      </c>
      <c r="E180" s="23" t="inlineStr">
        <is>
          <t>M</t>
        </is>
      </c>
      <c r="F180" s="32">
        <f>"'Daily Inventory (Live Formulas)'!M76 — Raw data, no formula"</f>
        <v/>
      </c>
      <c r="G180" s="33" t="inlineStr">
        <is>
          <t>Raw Data</t>
        </is>
      </c>
      <c r="H180" s="25" t="inlineStr"/>
    </row>
    <row r="181" ht="22" customHeight="1">
      <c r="A181" s="28" t="inlineStr"/>
      <c r="B181" s="29" t="inlineStr"/>
      <c r="C181" s="25" t="inlineStr"/>
      <c r="D181" s="25" t="inlineStr">
        <is>
          <t>Volume of Available Product (BBLs)</t>
        </is>
      </c>
      <c r="E181" s="23" t="inlineStr">
        <is>
          <t>N</t>
        </is>
      </c>
      <c r="F181" s="26">
        <f>'Daily Inventory (Live Formulas)'!N76</f>
        <v/>
      </c>
      <c r="G181" s="27" t="inlineStr">
        <is>
          <t>SUM</t>
        </is>
      </c>
      <c r="H181" s="25" t="inlineStr"/>
    </row>
    <row r="182" ht="22" customHeight="1">
      <c r="A182" s="28" t="inlineStr"/>
      <c r="B182" s="29" t="inlineStr"/>
      <c r="C182" s="25" t="inlineStr"/>
      <c r="D182" s="25" t="inlineStr">
        <is>
          <t>Remaining Capacity (BBLs)</t>
        </is>
      </c>
      <c r="E182" s="23" t="inlineStr">
        <is>
          <t>O</t>
        </is>
      </c>
      <c r="F182" s="26">
        <f>'Daily Inventory (Live Formulas)'!O76</f>
        <v/>
      </c>
      <c r="G182" s="27" t="inlineStr">
        <is>
          <t>SUM</t>
        </is>
      </c>
      <c r="H182" s="25" t="inlineStr"/>
    </row>
    <row r="183" ht="22" customHeight="1">
      <c r="A183" s="28" t="inlineStr"/>
      <c r="B183" s="29" t="inlineStr"/>
      <c r="C183" s="25" t="inlineStr"/>
      <c r="D183" s="25" t="inlineStr">
        <is>
          <t>Inventory Change Net Vol (BBLs)</t>
        </is>
      </c>
      <c r="E183" s="23" t="inlineStr">
        <is>
          <t>P</t>
        </is>
      </c>
      <c r="F183" s="26">
        <f>'Daily Inventory (Live Formulas)'!P76</f>
        <v/>
      </c>
      <c r="G183" s="27" t="inlineStr">
        <is>
          <t>SUM</t>
        </is>
      </c>
      <c r="H183" s="25" t="inlineStr"/>
    </row>
    <row r="184" ht="22" customHeight="1">
      <c r="A184" s="7" t="n">
        <v>16</v>
      </c>
      <c r="B184" s="5" t="inlineStr">
        <is>
          <t>Acc_Isobutane</t>
        </is>
      </c>
      <c r="C184" s="6" t="inlineStr">
        <is>
          <t>Isobutane</t>
        </is>
      </c>
      <c r="D184" s="6" t="inlineStr">
        <is>
          <t>Opening Net Volume (BBLs)</t>
        </is>
      </c>
      <c r="E184" s="7" t="inlineStr">
        <is>
          <t>E</t>
        </is>
      </c>
      <c r="F184" s="26">
        <f>'Daily Inventory (Live Formulas)'!E79+'Daily Inventory (Live Formulas)'!E80</f>
        <v/>
      </c>
      <c r="G184" s="27" t="inlineStr">
        <is>
          <t>SUM</t>
        </is>
      </c>
      <c r="H184" s="6" t="inlineStr">
        <is>
          <t>TK88, TK89</t>
        </is>
      </c>
    </row>
    <row r="185" ht="22" customHeight="1">
      <c r="A185" s="34" t="inlineStr"/>
      <c r="B185" s="4" t="inlineStr"/>
      <c r="C185" s="6" t="inlineStr"/>
      <c r="D185" s="6" t="inlineStr">
        <is>
          <t>Opening Gravity</t>
        </is>
      </c>
      <c r="E185" s="7" t="inlineStr">
        <is>
          <t>F</t>
        </is>
      </c>
      <c r="F185" s="30">
        <f>AVERAGE('Daily Inventory (Live Formulas)'!F79,'Daily Inventory (Live Formulas)'!F80)</f>
        <v/>
      </c>
      <c r="G185" s="31" t="inlineStr">
        <is>
          <t>AVERAGE</t>
        </is>
      </c>
      <c r="H185" s="6" t="inlineStr"/>
    </row>
    <row r="186" ht="22" customHeight="1">
      <c r="A186" s="34" t="inlineStr"/>
      <c r="B186" s="4" t="inlineStr"/>
      <c r="C186" s="6" t="inlineStr"/>
      <c r="D186" s="6" t="inlineStr">
        <is>
          <t>Closing Net Volume (BBLs)</t>
        </is>
      </c>
      <c r="E186" s="7" t="inlineStr">
        <is>
          <t>G</t>
        </is>
      </c>
      <c r="F186" s="26">
        <f>'Daily Inventory (Live Formulas)'!G79+'Daily Inventory (Live Formulas)'!G80</f>
        <v/>
      </c>
      <c r="G186" s="27" t="inlineStr">
        <is>
          <t>SUM</t>
        </is>
      </c>
      <c r="H186" s="6" t="inlineStr"/>
    </row>
    <row r="187" ht="22" customHeight="1">
      <c r="A187" s="34" t="inlineStr"/>
      <c r="B187" s="4" t="inlineStr"/>
      <c r="C187" s="6" t="inlineStr"/>
      <c r="D187" s="6" t="inlineStr">
        <is>
          <t>Closing Gross Volume (BBLs)</t>
        </is>
      </c>
      <c r="E187" s="7" t="inlineStr">
        <is>
          <t>H</t>
        </is>
      </c>
      <c r="F187" s="26">
        <f>'Daily Inventory (Live Formulas)'!H79+'Daily Inventory (Live Formulas)'!H80</f>
        <v/>
      </c>
      <c r="G187" s="27" t="inlineStr">
        <is>
          <t>SUM</t>
        </is>
      </c>
      <c r="H187" s="6" t="inlineStr"/>
    </row>
    <row r="188" ht="22" customHeight="1">
      <c r="A188" s="34" t="inlineStr"/>
      <c r="B188" s="4" t="inlineStr"/>
      <c r="C188" s="6" t="inlineStr"/>
      <c r="D188" s="6" t="inlineStr">
        <is>
          <t>Level Feet</t>
        </is>
      </c>
      <c r="E188" s="7" t="inlineStr">
        <is>
          <t>I</t>
        </is>
      </c>
      <c r="F188" s="32">
        <f>"'Daily Inventory (Live Formulas)'!I79 — Raw data, no formula"</f>
        <v/>
      </c>
      <c r="G188" s="33" t="inlineStr">
        <is>
          <t>Raw Data</t>
        </is>
      </c>
      <c r="H188" s="6" t="inlineStr"/>
    </row>
    <row r="189" ht="22" customHeight="1">
      <c r="A189" s="34" t="inlineStr"/>
      <c r="B189" s="4" t="inlineStr"/>
      <c r="C189" s="6" t="inlineStr"/>
      <c r="D189" s="6" t="inlineStr">
        <is>
          <t>Gravity (Closing)</t>
        </is>
      </c>
      <c r="E189" s="7" t="inlineStr">
        <is>
          <t>J</t>
        </is>
      </c>
      <c r="F189" s="30">
        <f>AVERAGE('Daily Inventory (Live Formulas)'!J79,'Daily Inventory (Live Formulas)'!J80)</f>
        <v/>
      </c>
      <c r="G189" s="31" t="inlineStr">
        <is>
          <t>AVERAGE</t>
        </is>
      </c>
      <c r="H189" s="6" t="inlineStr"/>
    </row>
    <row r="190" ht="22" customHeight="1">
      <c r="A190" s="34" t="inlineStr"/>
      <c r="B190" s="4" t="inlineStr"/>
      <c r="C190" s="6" t="inlineStr"/>
      <c r="D190" s="6" t="inlineStr">
        <is>
          <t>Temperature</t>
        </is>
      </c>
      <c r="E190" s="7" t="inlineStr">
        <is>
          <t>K</t>
        </is>
      </c>
      <c r="F190" s="32">
        <f>"'Daily Inventory (Live Formulas)'!K79 — Raw data, no formula"</f>
        <v/>
      </c>
      <c r="G190" s="33" t="inlineStr">
        <is>
          <t>Raw Data</t>
        </is>
      </c>
      <c r="H190" s="6" t="inlineStr"/>
    </row>
    <row r="191" ht="22" customHeight="1">
      <c r="A191" s="34" t="inlineStr"/>
      <c r="B191" s="4" t="inlineStr"/>
      <c r="C191" s="6" t="inlineStr"/>
      <c r="D191" s="6" t="inlineStr">
        <is>
          <t>Total Water (BBLs)</t>
        </is>
      </c>
      <c r="E191" s="7" t="inlineStr">
        <is>
          <t>L</t>
        </is>
      </c>
      <c r="F191" s="26">
        <f>'Daily Inventory (Live Formulas)'!L79+'Daily Inventory (Live Formulas)'!L80</f>
        <v/>
      </c>
      <c r="G191" s="27" t="inlineStr">
        <is>
          <t>SUM</t>
        </is>
      </c>
      <c r="H191" s="6" t="inlineStr"/>
    </row>
    <row r="192" ht="22" customHeight="1">
      <c r="A192" s="34" t="inlineStr"/>
      <c r="B192" s="4" t="inlineStr"/>
      <c r="C192" s="6" t="inlineStr"/>
      <c r="D192" s="6" t="inlineStr">
        <is>
          <t>BSW Feet</t>
        </is>
      </c>
      <c r="E192" s="7" t="inlineStr">
        <is>
          <t>M</t>
        </is>
      </c>
      <c r="F192" s="32">
        <f>"'Daily Inventory (Live Formulas)'!M79 — Raw data, no formula"</f>
        <v/>
      </c>
      <c r="G192" s="33" t="inlineStr">
        <is>
          <t>Raw Data</t>
        </is>
      </c>
      <c r="H192" s="6" t="inlineStr"/>
    </row>
    <row r="193" ht="22" customHeight="1">
      <c r="A193" s="34" t="inlineStr"/>
      <c r="B193" s="4" t="inlineStr"/>
      <c r="C193" s="6" t="inlineStr"/>
      <c r="D193" s="6" t="inlineStr">
        <is>
          <t>Volume of Available Product (BBLs)</t>
        </is>
      </c>
      <c r="E193" s="7" t="inlineStr">
        <is>
          <t>N</t>
        </is>
      </c>
      <c r="F193" s="26">
        <f>'Daily Inventory (Live Formulas)'!N79+'Daily Inventory (Live Formulas)'!N80</f>
        <v/>
      </c>
      <c r="G193" s="27" t="inlineStr">
        <is>
          <t>SUM</t>
        </is>
      </c>
      <c r="H193" s="6" t="inlineStr"/>
    </row>
    <row r="194" ht="22" customHeight="1">
      <c r="A194" s="34" t="inlineStr"/>
      <c r="B194" s="4" t="inlineStr"/>
      <c r="C194" s="6" t="inlineStr"/>
      <c r="D194" s="6" t="inlineStr">
        <is>
          <t>Remaining Capacity (BBLs)</t>
        </is>
      </c>
      <c r="E194" s="7" t="inlineStr">
        <is>
          <t>O</t>
        </is>
      </c>
      <c r="F194" s="26">
        <f>'Daily Inventory (Live Formulas)'!O79+'Daily Inventory (Live Formulas)'!O80</f>
        <v/>
      </c>
      <c r="G194" s="27" t="inlineStr">
        <is>
          <t>SUM</t>
        </is>
      </c>
      <c r="H194" s="6" t="inlineStr"/>
    </row>
    <row r="195" ht="22" customHeight="1">
      <c r="A195" s="34" t="inlineStr"/>
      <c r="B195" s="4" t="inlineStr"/>
      <c r="C195" s="6" t="inlineStr"/>
      <c r="D195" s="6" t="inlineStr">
        <is>
          <t>Inventory Change Net Vol (BBLs)</t>
        </is>
      </c>
      <c r="E195" s="7" t="inlineStr">
        <is>
          <t>P</t>
        </is>
      </c>
      <c r="F195" s="26">
        <f>'Daily Inventory (Live Formulas)'!P79+'Daily Inventory (Live Formulas)'!P80</f>
        <v/>
      </c>
      <c r="G195" s="27" t="inlineStr">
        <is>
          <t>SUM</t>
        </is>
      </c>
      <c r="H195" s="6" t="inlineStr"/>
    </row>
    <row r="196" ht="22" customHeight="1">
      <c r="A196" s="23" t="n">
        <v>17</v>
      </c>
      <c r="B196" s="24" t="inlineStr">
        <is>
          <t>Acc_Isomerate</t>
        </is>
      </c>
      <c r="C196" s="25" t="inlineStr">
        <is>
          <t>Isomerate</t>
        </is>
      </c>
      <c r="D196" s="25" t="inlineStr">
        <is>
          <t>Opening Net Volume (BBLs)</t>
        </is>
      </c>
      <c r="E196" s="23" t="inlineStr">
        <is>
          <t>E</t>
        </is>
      </c>
      <c r="F196" s="26">
        <f>'Daily Inventory (Live Formulas)'!E83+'Daily Inventory (Live Formulas)'!E84</f>
        <v/>
      </c>
      <c r="G196" s="27" t="inlineStr">
        <is>
          <t>SUM</t>
        </is>
      </c>
      <c r="H196" s="25" t="inlineStr">
        <is>
          <t>TK69, TK70</t>
        </is>
      </c>
    </row>
    <row r="197" ht="22" customHeight="1">
      <c r="A197" s="28" t="inlineStr"/>
      <c r="B197" s="29" t="inlineStr"/>
      <c r="C197" s="25" t="inlineStr"/>
      <c r="D197" s="25" t="inlineStr">
        <is>
          <t>Opening Gravity</t>
        </is>
      </c>
      <c r="E197" s="23" t="inlineStr">
        <is>
          <t>F</t>
        </is>
      </c>
      <c r="F197" s="30">
        <f>AVERAGE('Daily Inventory (Live Formulas)'!F83,'Daily Inventory (Live Formulas)'!F84)</f>
        <v/>
      </c>
      <c r="G197" s="31" t="inlineStr">
        <is>
          <t>AVERAGE</t>
        </is>
      </c>
      <c r="H197" s="25" t="inlineStr"/>
    </row>
    <row r="198" ht="22" customHeight="1">
      <c r="A198" s="28" t="inlineStr"/>
      <c r="B198" s="29" t="inlineStr"/>
      <c r="C198" s="25" t="inlineStr"/>
      <c r="D198" s="25" t="inlineStr">
        <is>
          <t>Closing Net Volume (BBLs)</t>
        </is>
      </c>
      <c r="E198" s="23" t="inlineStr">
        <is>
          <t>G</t>
        </is>
      </c>
      <c r="F198" s="26">
        <f>'Daily Inventory (Live Formulas)'!G83+'Daily Inventory (Live Formulas)'!G84</f>
        <v/>
      </c>
      <c r="G198" s="27" t="inlineStr">
        <is>
          <t>SUM</t>
        </is>
      </c>
      <c r="H198" s="25" t="inlineStr"/>
    </row>
    <row r="199" ht="22" customHeight="1">
      <c r="A199" s="28" t="inlineStr"/>
      <c r="B199" s="29" t="inlineStr"/>
      <c r="C199" s="25" t="inlineStr"/>
      <c r="D199" s="25" t="inlineStr">
        <is>
          <t>Closing Gross Volume (BBLs)</t>
        </is>
      </c>
      <c r="E199" s="23" t="inlineStr">
        <is>
          <t>H</t>
        </is>
      </c>
      <c r="F199" s="26">
        <f>'Daily Inventory (Live Formulas)'!H83+'Daily Inventory (Live Formulas)'!H84</f>
        <v/>
      </c>
      <c r="G199" s="27" t="inlineStr">
        <is>
          <t>SUM</t>
        </is>
      </c>
      <c r="H199" s="25" t="inlineStr"/>
    </row>
    <row r="200" ht="22" customHeight="1">
      <c r="A200" s="28" t="inlineStr"/>
      <c r="B200" s="29" t="inlineStr"/>
      <c r="C200" s="25" t="inlineStr"/>
      <c r="D200" s="25" t="inlineStr">
        <is>
          <t>Level Feet</t>
        </is>
      </c>
      <c r="E200" s="23" t="inlineStr">
        <is>
          <t>I</t>
        </is>
      </c>
      <c r="F200" s="32">
        <f>"'Daily Inventory (Live Formulas)'!I83 — Raw data, no formula"</f>
        <v/>
      </c>
      <c r="G200" s="33" t="inlineStr">
        <is>
          <t>Raw Data</t>
        </is>
      </c>
      <c r="H200" s="25" t="inlineStr"/>
    </row>
    <row r="201" ht="22" customHeight="1">
      <c r="A201" s="28" t="inlineStr"/>
      <c r="B201" s="29" t="inlineStr"/>
      <c r="C201" s="25" t="inlineStr"/>
      <c r="D201" s="25" t="inlineStr">
        <is>
          <t>Gravity (Closing)</t>
        </is>
      </c>
      <c r="E201" s="23" t="inlineStr">
        <is>
          <t>J</t>
        </is>
      </c>
      <c r="F201" s="30">
        <f>AVERAGE('Daily Inventory (Live Formulas)'!J83,'Daily Inventory (Live Formulas)'!J84)</f>
        <v/>
      </c>
      <c r="G201" s="31" t="inlineStr">
        <is>
          <t>AVERAGE</t>
        </is>
      </c>
      <c r="H201" s="25" t="inlineStr"/>
    </row>
    <row r="202" ht="22" customHeight="1">
      <c r="A202" s="28" t="inlineStr"/>
      <c r="B202" s="29" t="inlineStr"/>
      <c r="C202" s="25" t="inlineStr"/>
      <c r="D202" s="25" t="inlineStr">
        <is>
          <t>Temperature</t>
        </is>
      </c>
      <c r="E202" s="23" t="inlineStr">
        <is>
          <t>K</t>
        </is>
      </c>
      <c r="F202" s="32">
        <f>"'Daily Inventory (Live Formulas)'!K83 — Raw data, no formula"</f>
        <v/>
      </c>
      <c r="G202" s="33" t="inlineStr">
        <is>
          <t>Raw Data</t>
        </is>
      </c>
      <c r="H202" s="25" t="inlineStr"/>
    </row>
    <row r="203" ht="22" customHeight="1">
      <c r="A203" s="28" t="inlineStr"/>
      <c r="B203" s="29" t="inlineStr"/>
      <c r="C203" s="25" t="inlineStr"/>
      <c r="D203" s="25" t="inlineStr">
        <is>
          <t>Total Water (BBLs)</t>
        </is>
      </c>
      <c r="E203" s="23" t="inlineStr">
        <is>
          <t>L</t>
        </is>
      </c>
      <c r="F203" s="26">
        <f>'Daily Inventory (Live Formulas)'!L83+'Daily Inventory (Live Formulas)'!L84</f>
        <v/>
      </c>
      <c r="G203" s="27" t="inlineStr">
        <is>
          <t>SUM</t>
        </is>
      </c>
      <c r="H203" s="25" t="inlineStr"/>
    </row>
    <row r="204" ht="22" customHeight="1">
      <c r="A204" s="28" t="inlineStr"/>
      <c r="B204" s="29" t="inlineStr"/>
      <c r="C204" s="25" t="inlineStr"/>
      <c r="D204" s="25" t="inlineStr">
        <is>
          <t>BSW Feet</t>
        </is>
      </c>
      <c r="E204" s="23" t="inlineStr">
        <is>
          <t>M</t>
        </is>
      </c>
      <c r="F204" s="32">
        <f>"'Daily Inventory (Live Formulas)'!M83 — Raw data, no formula"</f>
        <v/>
      </c>
      <c r="G204" s="33" t="inlineStr">
        <is>
          <t>Raw Data</t>
        </is>
      </c>
      <c r="H204" s="25" t="inlineStr"/>
    </row>
    <row r="205" ht="22" customHeight="1">
      <c r="A205" s="28" t="inlineStr"/>
      <c r="B205" s="29" t="inlineStr"/>
      <c r="C205" s="25" t="inlineStr"/>
      <c r="D205" s="25" t="inlineStr">
        <is>
          <t>Volume of Available Product (BBLs)</t>
        </is>
      </c>
      <c r="E205" s="23" t="inlineStr">
        <is>
          <t>N</t>
        </is>
      </c>
      <c r="F205" s="26">
        <f>'Daily Inventory (Live Formulas)'!N83+'Daily Inventory (Live Formulas)'!N84</f>
        <v/>
      </c>
      <c r="G205" s="27" t="inlineStr">
        <is>
          <t>SUM</t>
        </is>
      </c>
      <c r="H205" s="25" t="inlineStr"/>
    </row>
    <row r="206" ht="22" customHeight="1">
      <c r="A206" s="28" t="inlineStr"/>
      <c r="B206" s="29" t="inlineStr"/>
      <c r="C206" s="25" t="inlineStr"/>
      <c r="D206" s="25" t="inlineStr">
        <is>
          <t>Remaining Capacity (BBLs)</t>
        </is>
      </c>
      <c r="E206" s="23" t="inlineStr">
        <is>
          <t>O</t>
        </is>
      </c>
      <c r="F206" s="26">
        <f>'Daily Inventory (Live Formulas)'!O83+'Daily Inventory (Live Formulas)'!O84</f>
        <v/>
      </c>
      <c r="G206" s="27" t="inlineStr">
        <is>
          <t>SUM</t>
        </is>
      </c>
      <c r="H206" s="25" t="inlineStr"/>
    </row>
    <row r="207" ht="22" customHeight="1">
      <c r="A207" s="28" t="inlineStr"/>
      <c r="B207" s="29" t="inlineStr"/>
      <c r="C207" s="25" t="inlineStr"/>
      <c r="D207" s="25" t="inlineStr">
        <is>
          <t>Inventory Change Net Vol (BBLs)</t>
        </is>
      </c>
      <c r="E207" s="23" t="inlineStr">
        <is>
          <t>P</t>
        </is>
      </c>
      <c r="F207" s="26">
        <f>'Daily Inventory (Live Formulas)'!P83+'Daily Inventory (Live Formulas)'!P84</f>
        <v/>
      </c>
      <c r="G207" s="27" t="inlineStr">
        <is>
          <t>SUM</t>
        </is>
      </c>
      <c r="H207" s="25" t="inlineStr"/>
    </row>
    <row r="208" ht="22" customHeight="1">
      <c r="A208" s="7" t="n">
        <v>18</v>
      </c>
      <c r="B208" s="5" t="inlineStr">
        <is>
          <t>Acc_JetBlendstock</t>
        </is>
      </c>
      <c r="C208" s="6" t="inlineStr">
        <is>
          <t>Jet fuel Blendstock</t>
        </is>
      </c>
      <c r="D208" s="6" t="inlineStr">
        <is>
          <t>Opening Net Volume (BBLs)</t>
        </is>
      </c>
      <c r="E208" s="7" t="inlineStr">
        <is>
          <t>E</t>
        </is>
      </c>
      <c r="F208" s="26">
        <f>'Daily Inventory (Live Formulas)'!E87</f>
        <v/>
      </c>
      <c r="G208" s="27" t="inlineStr">
        <is>
          <t>SUM</t>
        </is>
      </c>
      <c r="H208" s="6" t="inlineStr">
        <is>
          <t>TK4</t>
        </is>
      </c>
    </row>
    <row r="209" ht="22" customHeight="1">
      <c r="A209" s="34" t="inlineStr"/>
      <c r="B209" s="4" t="inlineStr"/>
      <c r="C209" s="6" t="inlineStr"/>
      <c r="D209" s="6" t="inlineStr">
        <is>
          <t>Opening Gravity</t>
        </is>
      </c>
      <c r="E209" s="7" t="inlineStr">
        <is>
          <t>F</t>
        </is>
      </c>
      <c r="F209" s="30">
        <f>AVERAGE('Daily Inventory (Live Formulas)'!F87)</f>
        <v/>
      </c>
      <c r="G209" s="31" t="inlineStr">
        <is>
          <t>AVERAGE</t>
        </is>
      </c>
      <c r="H209" s="6" t="inlineStr"/>
    </row>
    <row r="210" ht="22" customHeight="1">
      <c r="A210" s="34" t="inlineStr"/>
      <c r="B210" s="4" t="inlineStr"/>
      <c r="C210" s="6" t="inlineStr"/>
      <c r="D210" s="6" t="inlineStr">
        <is>
          <t>Closing Net Volume (BBLs)</t>
        </is>
      </c>
      <c r="E210" s="7" t="inlineStr">
        <is>
          <t>G</t>
        </is>
      </c>
      <c r="F210" s="26">
        <f>'Daily Inventory (Live Formulas)'!G87</f>
        <v/>
      </c>
      <c r="G210" s="27" t="inlineStr">
        <is>
          <t>SUM</t>
        </is>
      </c>
      <c r="H210" s="6" t="inlineStr"/>
    </row>
    <row r="211" ht="22" customHeight="1">
      <c r="A211" s="34" t="inlineStr"/>
      <c r="B211" s="4" t="inlineStr"/>
      <c r="C211" s="6" t="inlineStr"/>
      <c r="D211" s="6" t="inlineStr">
        <is>
          <t>Closing Gross Volume (BBLs)</t>
        </is>
      </c>
      <c r="E211" s="7" t="inlineStr">
        <is>
          <t>H</t>
        </is>
      </c>
      <c r="F211" s="26">
        <f>'Daily Inventory (Live Formulas)'!H87</f>
        <v/>
      </c>
      <c r="G211" s="27" t="inlineStr">
        <is>
          <t>SUM</t>
        </is>
      </c>
      <c r="H211" s="6" t="inlineStr"/>
    </row>
    <row r="212" ht="22" customHeight="1">
      <c r="A212" s="34" t="inlineStr"/>
      <c r="B212" s="4" t="inlineStr"/>
      <c r="C212" s="6" t="inlineStr"/>
      <c r="D212" s="6" t="inlineStr">
        <is>
          <t>Level Feet</t>
        </is>
      </c>
      <c r="E212" s="7" t="inlineStr">
        <is>
          <t>I</t>
        </is>
      </c>
      <c r="F212" s="32">
        <f>"'Daily Inventory (Live Formulas)'!I87 — Raw data, no formula"</f>
        <v/>
      </c>
      <c r="G212" s="33" t="inlineStr">
        <is>
          <t>Raw Data</t>
        </is>
      </c>
      <c r="H212" s="6" t="inlineStr"/>
    </row>
    <row r="213" ht="22" customHeight="1">
      <c r="A213" s="34" t="inlineStr"/>
      <c r="B213" s="4" t="inlineStr"/>
      <c r="C213" s="6" t="inlineStr"/>
      <c r="D213" s="6" t="inlineStr">
        <is>
          <t>Gravity (Closing)</t>
        </is>
      </c>
      <c r="E213" s="7" t="inlineStr">
        <is>
          <t>J</t>
        </is>
      </c>
      <c r="F213" s="30">
        <f>AVERAGE('Daily Inventory (Live Formulas)'!J87)</f>
        <v/>
      </c>
      <c r="G213" s="31" t="inlineStr">
        <is>
          <t>AVERAGE</t>
        </is>
      </c>
      <c r="H213" s="6" t="inlineStr"/>
    </row>
    <row r="214" ht="22" customHeight="1">
      <c r="A214" s="34" t="inlineStr"/>
      <c r="B214" s="4" t="inlineStr"/>
      <c r="C214" s="6" t="inlineStr"/>
      <c r="D214" s="6" t="inlineStr">
        <is>
          <t>Temperature</t>
        </is>
      </c>
      <c r="E214" s="7" t="inlineStr">
        <is>
          <t>K</t>
        </is>
      </c>
      <c r="F214" s="32">
        <f>"'Daily Inventory (Live Formulas)'!K87 — Raw data, no formula"</f>
        <v/>
      </c>
      <c r="G214" s="33" t="inlineStr">
        <is>
          <t>Raw Data</t>
        </is>
      </c>
      <c r="H214" s="6" t="inlineStr"/>
    </row>
    <row r="215" ht="22" customHeight="1">
      <c r="A215" s="34" t="inlineStr"/>
      <c r="B215" s="4" t="inlineStr"/>
      <c r="C215" s="6" t="inlineStr"/>
      <c r="D215" s="6" t="inlineStr">
        <is>
          <t>Total Water (BBLs)</t>
        </is>
      </c>
      <c r="E215" s="7" t="inlineStr">
        <is>
          <t>L</t>
        </is>
      </c>
      <c r="F215" s="26">
        <f>'Daily Inventory (Live Formulas)'!L87</f>
        <v/>
      </c>
      <c r="G215" s="27" t="inlineStr">
        <is>
          <t>SUM</t>
        </is>
      </c>
      <c r="H215" s="6" t="inlineStr"/>
    </row>
    <row r="216" ht="22" customHeight="1">
      <c r="A216" s="34" t="inlineStr"/>
      <c r="B216" s="4" t="inlineStr"/>
      <c r="C216" s="6" t="inlineStr"/>
      <c r="D216" s="6" t="inlineStr">
        <is>
          <t>BSW Feet</t>
        </is>
      </c>
      <c r="E216" s="7" t="inlineStr">
        <is>
          <t>M</t>
        </is>
      </c>
      <c r="F216" s="32">
        <f>"'Daily Inventory (Live Formulas)'!M87 — Raw data, no formula"</f>
        <v/>
      </c>
      <c r="G216" s="33" t="inlineStr">
        <is>
          <t>Raw Data</t>
        </is>
      </c>
      <c r="H216" s="6" t="inlineStr"/>
    </row>
    <row r="217" ht="22" customHeight="1">
      <c r="A217" s="34" t="inlineStr"/>
      <c r="B217" s="4" t="inlineStr"/>
      <c r="C217" s="6" t="inlineStr"/>
      <c r="D217" s="6" t="inlineStr">
        <is>
          <t>Volume of Available Product (BBLs)</t>
        </is>
      </c>
      <c r="E217" s="7" t="inlineStr">
        <is>
          <t>N</t>
        </is>
      </c>
      <c r="F217" s="26">
        <f>'Daily Inventory (Live Formulas)'!N87</f>
        <v/>
      </c>
      <c r="G217" s="27" t="inlineStr">
        <is>
          <t>SUM</t>
        </is>
      </c>
      <c r="H217" s="6" t="inlineStr"/>
    </row>
    <row r="218" ht="22" customHeight="1">
      <c r="A218" s="34" t="inlineStr"/>
      <c r="B218" s="4" t="inlineStr"/>
      <c r="C218" s="6" t="inlineStr"/>
      <c r="D218" s="6" t="inlineStr">
        <is>
          <t>Remaining Capacity (BBLs)</t>
        </is>
      </c>
      <c r="E218" s="7" t="inlineStr">
        <is>
          <t>O</t>
        </is>
      </c>
      <c r="F218" s="26">
        <f>'Daily Inventory (Live Formulas)'!O87</f>
        <v/>
      </c>
      <c r="G218" s="27" t="inlineStr">
        <is>
          <t>SUM</t>
        </is>
      </c>
      <c r="H218" s="6" t="inlineStr"/>
    </row>
    <row r="219" ht="22" customHeight="1">
      <c r="A219" s="34" t="inlineStr"/>
      <c r="B219" s="4" t="inlineStr"/>
      <c r="C219" s="6" t="inlineStr"/>
      <c r="D219" s="6" t="inlineStr">
        <is>
          <t>Inventory Change Net Vol (BBLs)</t>
        </is>
      </c>
      <c r="E219" s="7" t="inlineStr">
        <is>
          <t>P</t>
        </is>
      </c>
      <c r="F219" s="26">
        <f>'Daily Inventory (Live Formulas)'!P87</f>
        <v/>
      </c>
      <c r="G219" s="27" t="inlineStr">
        <is>
          <t>SUM</t>
        </is>
      </c>
      <c r="H219" s="6" t="inlineStr"/>
    </row>
    <row r="220" ht="22" customHeight="1">
      <c r="A220" s="23" t="n">
        <v>19</v>
      </c>
      <c r="B220" s="24" t="inlineStr">
        <is>
          <t>Acc_JetFuel</t>
        </is>
      </c>
      <c r="C220" s="25" t="inlineStr">
        <is>
          <t>Jet Fuel</t>
        </is>
      </c>
      <c r="D220" s="25" t="inlineStr">
        <is>
          <t>Opening Net Volume (BBLs)</t>
        </is>
      </c>
      <c r="E220" s="23" t="inlineStr">
        <is>
          <t>E</t>
        </is>
      </c>
      <c r="F220" s="26">
        <f>'Daily Inventory (Live Formulas)'!E90+'Daily Inventory (Live Formulas)'!E91+'Daily Inventory (Live Formulas)'!E92+'Daily Inventory (Live Formulas)'!E93+'Daily Inventory (Live Formulas)'!E94+'Daily Inventory (Live Formulas)'!E95</f>
        <v/>
      </c>
      <c r="G220" s="27" t="inlineStr">
        <is>
          <t>SUM</t>
        </is>
      </c>
      <c r="H220" s="25" t="inlineStr">
        <is>
          <t>TK32, TK33, TK34, TK40, TK44, TK49</t>
        </is>
      </c>
    </row>
    <row r="221" ht="22" customHeight="1">
      <c r="A221" s="28" t="inlineStr"/>
      <c r="B221" s="29" t="inlineStr"/>
      <c r="C221" s="25" t="inlineStr"/>
      <c r="D221" s="25" t="inlineStr">
        <is>
          <t>Opening Gravity</t>
        </is>
      </c>
      <c r="E221" s="23" t="inlineStr">
        <is>
          <t>F</t>
        </is>
      </c>
      <c r="F221" s="30">
        <f>AVERAGE('Daily Inventory (Live Formulas)'!F90,'Daily Inventory (Live Formulas)'!F91,'Daily Inventory (Live Formulas)'!F92,'Daily Inventory (Live Formulas)'!F93,'Daily Inventory (Live Formulas)'!F94,'Daily Inventory (Live Formulas)'!F95)</f>
        <v/>
      </c>
      <c r="G221" s="31" t="inlineStr">
        <is>
          <t>AVERAGE</t>
        </is>
      </c>
      <c r="H221" s="25" t="inlineStr"/>
    </row>
    <row r="222" ht="22" customHeight="1">
      <c r="A222" s="28" t="inlineStr"/>
      <c r="B222" s="29" t="inlineStr"/>
      <c r="C222" s="25" t="inlineStr"/>
      <c r="D222" s="25" t="inlineStr">
        <is>
          <t>Closing Net Volume (BBLs)</t>
        </is>
      </c>
      <c r="E222" s="23" t="inlineStr">
        <is>
          <t>G</t>
        </is>
      </c>
      <c r="F222" s="26">
        <f>'Daily Inventory (Live Formulas)'!G90+'Daily Inventory (Live Formulas)'!G91+'Daily Inventory (Live Formulas)'!G92+'Daily Inventory (Live Formulas)'!G93+'Daily Inventory (Live Formulas)'!G94+'Daily Inventory (Live Formulas)'!G95</f>
        <v/>
      </c>
      <c r="G222" s="27" t="inlineStr">
        <is>
          <t>SUM</t>
        </is>
      </c>
      <c r="H222" s="25" t="inlineStr"/>
    </row>
    <row r="223" ht="22" customHeight="1">
      <c r="A223" s="28" t="inlineStr"/>
      <c r="B223" s="29" t="inlineStr"/>
      <c r="C223" s="25" t="inlineStr"/>
      <c r="D223" s="25" t="inlineStr">
        <is>
          <t>Closing Gross Volume (BBLs)</t>
        </is>
      </c>
      <c r="E223" s="23" t="inlineStr">
        <is>
          <t>H</t>
        </is>
      </c>
      <c r="F223" s="26">
        <f>'Daily Inventory (Live Formulas)'!H90+'Daily Inventory (Live Formulas)'!H91+'Daily Inventory (Live Formulas)'!H92+'Daily Inventory (Live Formulas)'!H93+'Daily Inventory (Live Formulas)'!H94+'Daily Inventory (Live Formulas)'!H95</f>
        <v/>
      </c>
      <c r="G223" s="27" t="inlineStr">
        <is>
          <t>SUM</t>
        </is>
      </c>
      <c r="H223" s="25" t="inlineStr"/>
    </row>
    <row r="224" ht="22" customHeight="1">
      <c r="A224" s="28" t="inlineStr"/>
      <c r="B224" s="29" t="inlineStr"/>
      <c r="C224" s="25" t="inlineStr"/>
      <c r="D224" s="25" t="inlineStr">
        <is>
          <t>Level Feet</t>
        </is>
      </c>
      <c r="E224" s="23" t="inlineStr">
        <is>
          <t>I</t>
        </is>
      </c>
      <c r="F224" s="32">
        <f>"'Daily Inventory (Live Formulas)'!I90 — Raw data, no formula"</f>
        <v/>
      </c>
      <c r="G224" s="33" t="inlineStr">
        <is>
          <t>Raw Data</t>
        </is>
      </c>
      <c r="H224" s="25" t="inlineStr"/>
    </row>
    <row r="225" ht="22" customHeight="1">
      <c r="A225" s="28" t="inlineStr"/>
      <c r="B225" s="29" t="inlineStr"/>
      <c r="C225" s="25" t="inlineStr"/>
      <c r="D225" s="25" t="inlineStr">
        <is>
          <t>Gravity (Closing)</t>
        </is>
      </c>
      <c r="E225" s="23" t="inlineStr">
        <is>
          <t>J</t>
        </is>
      </c>
      <c r="F225" s="30">
        <f>AVERAGE('Daily Inventory (Live Formulas)'!J90,'Daily Inventory (Live Formulas)'!J91,'Daily Inventory (Live Formulas)'!J92,'Daily Inventory (Live Formulas)'!J93,'Daily Inventory (Live Formulas)'!J94,'Daily Inventory (Live Formulas)'!J95)</f>
        <v/>
      </c>
      <c r="G225" s="31" t="inlineStr">
        <is>
          <t>AVERAGE</t>
        </is>
      </c>
      <c r="H225" s="25" t="inlineStr"/>
    </row>
    <row r="226" ht="22" customHeight="1">
      <c r="A226" s="28" t="inlineStr"/>
      <c r="B226" s="29" t="inlineStr"/>
      <c r="C226" s="25" t="inlineStr"/>
      <c r="D226" s="25" t="inlineStr">
        <is>
          <t>Temperature</t>
        </is>
      </c>
      <c r="E226" s="23" t="inlineStr">
        <is>
          <t>K</t>
        </is>
      </c>
      <c r="F226" s="32">
        <f>"'Daily Inventory (Live Formulas)'!K90 — Raw data, no formula"</f>
        <v/>
      </c>
      <c r="G226" s="33" t="inlineStr">
        <is>
          <t>Raw Data</t>
        </is>
      </c>
      <c r="H226" s="25" t="inlineStr"/>
    </row>
    <row r="227" ht="22" customHeight="1">
      <c r="A227" s="28" t="inlineStr"/>
      <c r="B227" s="29" t="inlineStr"/>
      <c r="C227" s="25" t="inlineStr"/>
      <c r="D227" s="25" t="inlineStr">
        <is>
          <t>Total Water (BBLs)</t>
        </is>
      </c>
      <c r="E227" s="23" t="inlineStr">
        <is>
          <t>L</t>
        </is>
      </c>
      <c r="F227" s="26">
        <f>'Daily Inventory (Live Formulas)'!L90+'Daily Inventory (Live Formulas)'!L91+'Daily Inventory (Live Formulas)'!L92+'Daily Inventory (Live Formulas)'!L93+'Daily Inventory (Live Formulas)'!L94+'Daily Inventory (Live Formulas)'!L95</f>
        <v/>
      </c>
      <c r="G227" s="27" t="inlineStr">
        <is>
          <t>SUM</t>
        </is>
      </c>
      <c r="H227" s="25" t="inlineStr"/>
    </row>
    <row r="228" ht="22" customHeight="1">
      <c r="A228" s="28" t="inlineStr"/>
      <c r="B228" s="29" t="inlineStr"/>
      <c r="C228" s="25" t="inlineStr"/>
      <c r="D228" s="25" t="inlineStr">
        <is>
          <t>BSW Feet</t>
        </is>
      </c>
      <c r="E228" s="23" t="inlineStr">
        <is>
          <t>M</t>
        </is>
      </c>
      <c r="F228" s="32">
        <f>"'Daily Inventory (Live Formulas)'!M90 — Raw data, no formula"</f>
        <v/>
      </c>
      <c r="G228" s="33" t="inlineStr">
        <is>
          <t>Raw Data</t>
        </is>
      </c>
      <c r="H228" s="25" t="inlineStr"/>
    </row>
    <row r="229" ht="22" customHeight="1">
      <c r="A229" s="28" t="inlineStr"/>
      <c r="B229" s="29" t="inlineStr"/>
      <c r="C229" s="25" t="inlineStr"/>
      <c r="D229" s="25" t="inlineStr">
        <is>
          <t>Volume of Available Product (BBLs)</t>
        </is>
      </c>
      <c r="E229" s="23" t="inlineStr">
        <is>
          <t>N</t>
        </is>
      </c>
      <c r="F229" s="26">
        <f>'Daily Inventory (Live Formulas)'!N90+'Daily Inventory (Live Formulas)'!N91+'Daily Inventory (Live Formulas)'!N92+'Daily Inventory (Live Formulas)'!N93+'Daily Inventory (Live Formulas)'!N94+'Daily Inventory (Live Formulas)'!N95</f>
        <v/>
      </c>
      <c r="G229" s="27" t="inlineStr">
        <is>
          <t>SUM</t>
        </is>
      </c>
      <c r="H229" s="25" t="inlineStr"/>
    </row>
    <row r="230" ht="22" customHeight="1">
      <c r="A230" s="28" t="inlineStr"/>
      <c r="B230" s="29" t="inlineStr"/>
      <c r="C230" s="25" t="inlineStr"/>
      <c r="D230" s="25" t="inlineStr">
        <is>
          <t>Remaining Capacity (BBLs)</t>
        </is>
      </c>
      <c r="E230" s="23" t="inlineStr">
        <is>
          <t>O</t>
        </is>
      </c>
      <c r="F230" s="26">
        <f>'Daily Inventory (Live Formulas)'!O90+'Daily Inventory (Live Formulas)'!O91+'Daily Inventory (Live Formulas)'!O92+'Daily Inventory (Live Formulas)'!O93+'Daily Inventory (Live Formulas)'!O94+'Daily Inventory (Live Formulas)'!O95</f>
        <v/>
      </c>
      <c r="G230" s="27" t="inlineStr">
        <is>
          <t>SUM</t>
        </is>
      </c>
      <c r="H230" s="25" t="inlineStr"/>
    </row>
    <row r="231" ht="22" customHeight="1">
      <c r="A231" s="28" t="inlineStr"/>
      <c r="B231" s="29" t="inlineStr"/>
      <c r="C231" s="25" t="inlineStr"/>
      <c r="D231" s="25" t="inlineStr">
        <is>
          <t>Inventory Change Net Vol (BBLs)</t>
        </is>
      </c>
      <c r="E231" s="23" t="inlineStr">
        <is>
          <t>P</t>
        </is>
      </c>
      <c r="F231" s="26">
        <f>'Daily Inventory (Live Formulas)'!P90+'Daily Inventory (Live Formulas)'!P91+'Daily Inventory (Live Formulas)'!P92+'Daily Inventory (Live Formulas)'!P93+'Daily Inventory (Live Formulas)'!P94+'Daily Inventory (Live Formulas)'!P95</f>
        <v/>
      </c>
      <c r="G231" s="27" t="inlineStr">
        <is>
          <t>SUM</t>
        </is>
      </c>
      <c r="H231" s="25" t="inlineStr"/>
    </row>
    <row r="232" ht="22" customHeight="1">
      <c r="A232" s="7" t="n">
        <v>20</v>
      </c>
      <c r="B232" s="5" t="inlineStr">
        <is>
          <t>Acc_KeroBlndStck</t>
        </is>
      </c>
      <c r="C232" s="6" t="inlineStr">
        <is>
          <t>Unfinished Kerosene Blendstock</t>
        </is>
      </c>
      <c r="D232" s="6" t="inlineStr">
        <is>
          <t>Opening Net Volume (BBLs)</t>
        </is>
      </c>
      <c r="E232" s="7" t="inlineStr">
        <is>
          <t>E</t>
        </is>
      </c>
      <c r="F232" s="26">
        <f>'Daily Inventory (Live Formulas)'!E98+'Daily Inventory (Live Formulas)'!E99+'Daily Inventory (Live Formulas)'!E100+'Daily Inventory (Live Formulas)'!E101</f>
        <v/>
      </c>
      <c r="G232" s="27" t="inlineStr">
        <is>
          <t>SUM</t>
        </is>
      </c>
      <c r="H232" s="6" t="inlineStr">
        <is>
          <t>TK35, TK773, TK96, TK97</t>
        </is>
      </c>
    </row>
    <row r="233" ht="22" customHeight="1">
      <c r="A233" s="34" t="inlineStr"/>
      <c r="B233" s="4" t="inlineStr"/>
      <c r="C233" s="6" t="inlineStr"/>
      <c r="D233" s="6" t="inlineStr">
        <is>
          <t>Opening Gravity</t>
        </is>
      </c>
      <c r="E233" s="7" t="inlineStr">
        <is>
          <t>F</t>
        </is>
      </c>
      <c r="F233" s="30">
        <f>AVERAGE('Daily Inventory (Live Formulas)'!F98,'Daily Inventory (Live Formulas)'!F99,'Daily Inventory (Live Formulas)'!F100,'Daily Inventory (Live Formulas)'!F101)</f>
        <v/>
      </c>
      <c r="G233" s="31" t="inlineStr">
        <is>
          <t>AVERAGE</t>
        </is>
      </c>
      <c r="H233" s="6" t="inlineStr"/>
    </row>
    <row r="234" ht="22" customHeight="1">
      <c r="A234" s="34" t="inlineStr"/>
      <c r="B234" s="4" t="inlineStr"/>
      <c r="C234" s="6" t="inlineStr"/>
      <c r="D234" s="6" t="inlineStr">
        <is>
          <t>Closing Net Volume (BBLs)</t>
        </is>
      </c>
      <c r="E234" s="7" t="inlineStr">
        <is>
          <t>G</t>
        </is>
      </c>
      <c r="F234" s="26">
        <f>'Daily Inventory (Live Formulas)'!G98+'Daily Inventory (Live Formulas)'!G99+'Daily Inventory (Live Formulas)'!G100+'Daily Inventory (Live Formulas)'!G101</f>
        <v/>
      </c>
      <c r="G234" s="27" t="inlineStr">
        <is>
          <t>SUM</t>
        </is>
      </c>
      <c r="H234" s="6" t="inlineStr"/>
    </row>
    <row r="235" ht="22" customHeight="1">
      <c r="A235" s="34" t="inlineStr"/>
      <c r="B235" s="4" t="inlineStr"/>
      <c r="C235" s="6" t="inlineStr"/>
      <c r="D235" s="6" t="inlineStr">
        <is>
          <t>Closing Gross Volume (BBLs)</t>
        </is>
      </c>
      <c r="E235" s="7" t="inlineStr">
        <is>
          <t>H</t>
        </is>
      </c>
      <c r="F235" s="26">
        <f>'Daily Inventory (Live Formulas)'!H98+'Daily Inventory (Live Formulas)'!H99+'Daily Inventory (Live Formulas)'!H100+'Daily Inventory (Live Formulas)'!H101</f>
        <v/>
      </c>
      <c r="G235" s="27" t="inlineStr">
        <is>
          <t>SUM</t>
        </is>
      </c>
      <c r="H235" s="6" t="inlineStr"/>
    </row>
    <row r="236" ht="22" customHeight="1">
      <c r="A236" s="34" t="inlineStr"/>
      <c r="B236" s="4" t="inlineStr"/>
      <c r="C236" s="6" t="inlineStr"/>
      <c r="D236" s="6" t="inlineStr">
        <is>
          <t>Level Feet</t>
        </is>
      </c>
      <c r="E236" s="7" t="inlineStr">
        <is>
          <t>I</t>
        </is>
      </c>
      <c r="F236" s="32">
        <f>"'Daily Inventory (Live Formulas)'!I98 — Raw data, no formula"</f>
        <v/>
      </c>
      <c r="G236" s="33" t="inlineStr">
        <is>
          <t>Raw Data</t>
        </is>
      </c>
      <c r="H236" s="6" t="inlineStr"/>
    </row>
    <row r="237" ht="22" customHeight="1">
      <c r="A237" s="34" t="inlineStr"/>
      <c r="B237" s="4" t="inlineStr"/>
      <c r="C237" s="6" t="inlineStr"/>
      <c r="D237" s="6" t="inlineStr">
        <is>
          <t>Gravity (Closing)</t>
        </is>
      </c>
      <c r="E237" s="7" t="inlineStr">
        <is>
          <t>J</t>
        </is>
      </c>
      <c r="F237" s="30">
        <f>AVERAGE('Daily Inventory (Live Formulas)'!J98,'Daily Inventory (Live Formulas)'!J99,'Daily Inventory (Live Formulas)'!J100,'Daily Inventory (Live Formulas)'!J101)</f>
        <v/>
      </c>
      <c r="G237" s="31" t="inlineStr">
        <is>
          <t>AVERAGE</t>
        </is>
      </c>
      <c r="H237" s="6" t="inlineStr"/>
    </row>
    <row r="238" ht="22" customHeight="1">
      <c r="A238" s="34" t="inlineStr"/>
      <c r="B238" s="4" t="inlineStr"/>
      <c r="C238" s="6" t="inlineStr"/>
      <c r="D238" s="6" t="inlineStr">
        <is>
          <t>Temperature</t>
        </is>
      </c>
      <c r="E238" s="7" t="inlineStr">
        <is>
          <t>K</t>
        </is>
      </c>
      <c r="F238" s="32">
        <f>"'Daily Inventory (Live Formulas)'!K98 — Raw data, no formula"</f>
        <v/>
      </c>
      <c r="G238" s="33" t="inlineStr">
        <is>
          <t>Raw Data</t>
        </is>
      </c>
      <c r="H238" s="6" t="inlineStr"/>
    </row>
    <row r="239" ht="22" customHeight="1">
      <c r="A239" s="34" t="inlineStr"/>
      <c r="B239" s="4" t="inlineStr"/>
      <c r="C239" s="6" t="inlineStr"/>
      <c r="D239" s="6" t="inlineStr">
        <is>
          <t>Total Water (BBLs)</t>
        </is>
      </c>
      <c r="E239" s="7" t="inlineStr">
        <is>
          <t>L</t>
        </is>
      </c>
      <c r="F239" s="26">
        <f>'Daily Inventory (Live Formulas)'!L98+'Daily Inventory (Live Formulas)'!L99+'Daily Inventory (Live Formulas)'!L100+'Daily Inventory (Live Formulas)'!L101</f>
        <v/>
      </c>
      <c r="G239" s="27" t="inlineStr">
        <is>
          <t>SUM</t>
        </is>
      </c>
      <c r="H239" s="6" t="inlineStr"/>
    </row>
    <row r="240" ht="22" customHeight="1">
      <c r="A240" s="34" t="inlineStr"/>
      <c r="B240" s="4" t="inlineStr"/>
      <c r="C240" s="6" t="inlineStr"/>
      <c r="D240" s="6" t="inlineStr">
        <is>
          <t>BSW Feet</t>
        </is>
      </c>
      <c r="E240" s="7" t="inlineStr">
        <is>
          <t>M</t>
        </is>
      </c>
      <c r="F240" s="32">
        <f>"'Daily Inventory (Live Formulas)'!M98 — Raw data, no formula"</f>
        <v/>
      </c>
      <c r="G240" s="33" t="inlineStr">
        <is>
          <t>Raw Data</t>
        </is>
      </c>
      <c r="H240" s="6" t="inlineStr"/>
    </row>
    <row r="241" ht="22" customHeight="1">
      <c r="A241" s="34" t="inlineStr"/>
      <c r="B241" s="4" t="inlineStr"/>
      <c r="C241" s="6" t="inlineStr"/>
      <c r="D241" s="6" t="inlineStr">
        <is>
          <t>Volume of Available Product (BBLs)</t>
        </is>
      </c>
      <c r="E241" s="7" t="inlineStr">
        <is>
          <t>N</t>
        </is>
      </c>
      <c r="F241" s="26">
        <f>'Daily Inventory (Live Formulas)'!N98+'Daily Inventory (Live Formulas)'!N99+'Daily Inventory (Live Formulas)'!N100+'Daily Inventory (Live Formulas)'!N101</f>
        <v/>
      </c>
      <c r="G241" s="27" t="inlineStr">
        <is>
          <t>SUM</t>
        </is>
      </c>
      <c r="H241" s="6" t="inlineStr"/>
    </row>
    <row r="242" ht="22" customHeight="1">
      <c r="A242" s="34" t="inlineStr"/>
      <c r="B242" s="4" t="inlineStr"/>
      <c r="C242" s="6" t="inlineStr"/>
      <c r="D242" s="6" t="inlineStr">
        <is>
          <t>Remaining Capacity (BBLs)</t>
        </is>
      </c>
      <c r="E242" s="7" t="inlineStr">
        <is>
          <t>O</t>
        </is>
      </c>
      <c r="F242" s="26">
        <f>'Daily Inventory (Live Formulas)'!O98+'Daily Inventory (Live Formulas)'!O99+'Daily Inventory (Live Formulas)'!O100+'Daily Inventory (Live Formulas)'!O101</f>
        <v/>
      </c>
      <c r="G242" s="27" t="inlineStr">
        <is>
          <t>SUM</t>
        </is>
      </c>
      <c r="H242" s="6" t="inlineStr"/>
    </row>
    <row r="243" ht="22" customHeight="1">
      <c r="A243" s="34" t="inlineStr"/>
      <c r="B243" s="4" t="inlineStr"/>
      <c r="C243" s="6" t="inlineStr"/>
      <c r="D243" s="6" t="inlineStr">
        <is>
          <t>Inventory Change Net Vol (BBLs)</t>
        </is>
      </c>
      <c r="E243" s="7" t="inlineStr">
        <is>
          <t>P</t>
        </is>
      </c>
      <c r="F243" s="26">
        <f>'Daily Inventory (Live Formulas)'!P98+'Daily Inventory (Live Formulas)'!P99+'Daily Inventory (Live Formulas)'!P100+'Daily Inventory (Live Formulas)'!P101</f>
        <v/>
      </c>
      <c r="G243" s="27" t="inlineStr">
        <is>
          <t>SUM</t>
        </is>
      </c>
      <c r="H243" s="6" t="inlineStr"/>
    </row>
    <row r="244" ht="22" customHeight="1">
      <c r="A244" s="23" t="n">
        <v>21</v>
      </c>
      <c r="B244" s="24" t="inlineStr">
        <is>
          <t>Acc_LCO</t>
        </is>
      </c>
      <c r="C244" s="25" t="inlineStr">
        <is>
          <t>Light Cycle Oil</t>
        </is>
      </c>
      <c r="D244" s="25" t="inlineStr">
        <is>
          <t>Opening Net Volume (BBLs)</t>
        </is>
      </c>
      <c r="E244" s="23" t="inlineStr">
        <is>
          <t>E</t>
        </is>
      </c>
      <c r="F244" s="26">
        <f>'Daily Inventory (Live Formulas)'!E104</f>
        <v/>
      </c>
      <c r="G244" s="27" t="inlineStr">
        <is>
          <t>SUM</t>
        </is>
      </c>
      <c r="H244" s="25" t="inlineStr">
        <is>
          <t>TK968</t>
        </is>
      </c>
    </row>
    <row r="245" ht="22" customHeight="1">
      <c r="A245" s="28" t="inlineStr"/>
      <c r="B245" s="29" t="inlineStr"/>
      <c r="C245" s="25" t="inlineStr"/>
      <c r="D245" s="25" t="inlineStr">
        <is>
          <t>Opening Gravity</t>
        </is>
      </c>
      <c r="E245" s="23" t="inlineStr">
        <is>
          <t>F</t>
        </is>
      </c>
      <c r="F245" s="30">
        <f>AVERAGE('Daily Inventory (Live Formulas)'!F104)</f>
        <v/>
      </c>
      <c r="G245" s="31" t="inlineStr">
        <is>
          <t>AVERAGE</t>
        </is>
      </c>
      <c r="H245" s="25" t="inlineStr"/>
    </row>
    <row r="246" ht="22" customHeight="1">
      <c r="A246" s="28" t="inlineStr"/>
      <c r="B246" s="29" t="inlineStr"/>
      <c r="C246" s="25" t="inlineStr"/>
      <c r="D246" s="25" t="inlineStr">
        <is>
          <t>Closing Net Volume (BBLs)</t>
        </is>
      </c>
      <c r="E246" s="23" t="inlineStr">
        <is>
          <t>G</t>
        </is>
      </c>
      <c r="F246" s="26">
        <f>'Daily Inventory (Live Formulas)'!G104</f>
        <v/>
      </c>
      <c r="G246" s="27" t="inlineStr">
        <is>
          <t>SUM</t>
        </is>
      </c>
      <c r="H246" s="25" t="inlineStr"/>
    </row>
    <row r="247" ht="22" customHeight="1">
      <c r="A247" s="28" t="inlineStr"/>
      <c r="B247" s="29" t="inlineStr"/>
      <c r="C247" s="25" t="inlineStr"/>
      <c r="D247" s="25" t="inlineStr">
        <is>
          <t>Closing Gross Volume (BBLs)</t>
        </is>
      </c>
      <c r="E247" s="23" t="inlineStr">
        <is>
          <t>H</t>
        </is>
      </c>
      <c r="F247" s="26">
        <f>'Daily Inventory (Live Formulas)'!H104</f>
        <v/>
      </c>
      <c r="G247" s="27" t="inlineStr">
        <is>
          <t>SUM</t>
        </is>
      </c>
      <c r="H247" s="25" t="inlineStr"/>
    </row>
    <row r="248" ht="22" customHeight="1">
      <c r="A248" s="28" t="inlineStr"/>
      <c r="B248" s="29" t="inlineStr"/>
      <c r="C248" s="25" t="inlineStr"/>
      <c r="D248" s="25" t="inlineStr">
        <is>
          <t>Level Feet</t>
        </is>
      </c>
      <c r="E248" s="23" t="inlineStr">
        <is>
          <t>I</t>
        </is>
      </c>
      <c r="F248" s="32">
        <f>"'Daily Inventory (Live Formulas)'!I104 — Raw data, no formula"</f>
        <v/>
      </c>
      <c r="G248" s="33" t="inlineStr">
        <is>
          <t>Raw Data</t>
        </is>
      </c>
      <c r="H248" s="25" t="inlineStr"/>
    </row>
    <row r="249" ht="22" customHeight="1">
      <c r="A249" s="28" t="inlineStr"/>
      <c r="B249" s="29" t="inlineStr"/>
      <c r="C249" s="25" t="inlineStr"/>
      <c r="D249" s="25" t="inlineStr">
        <is>
          <t>Gravity (Closing)</t>
        </is>
      </c>
      <c r="E249" s="23" t="inlineStr">
        <is>
          <t>J</t>
        </is>
      </c>
      <c r="F249" s="30">
        <f>AVERAGE('Daily Inventory (Live Formulas)'!J104)</f>
        <v/>
      </c>
      <c r="G249" s="31" t="inlineStr">
        <is>
          <t>AVERAGE</t>
        </is>
      </c>
      <c r="H249" s="25" t="inlineStr"/>
    </row>
    <row r="250" ht="22" customHeight="1">
      <c r="A250" s="28" t="inlineStr"/>
      <c r="B250" s="29" t="inlineStr"/>
      <c r="C250" s="25" t="inlineStr"/>
      <c r="D250" s="25" t="inlineStr">
        <is>
          <t>Temperature</t>
        </is>
      </c>
      <c r="E250" s="23" t="inlineStr">
        <is>
          <t>K</t>
        </is>
      </c>
      <c r="F250" s="32">
        <f>"'Daily Inventory (Live Formulas)'!K104 — Raw data, no formula"</f>
        <v/>
      </c>
      <c r="G250" s="33" t="inlineStr">
        <is>
          <t>Raw Data</t>
        </is>
      </c>
      <c r="H250" s="25" t="inlineStr"/>
    </row>
    <row r="251" ht="22" customHeight="1">
      <c r="A251" s="28" t="inlineStr"/>
      <c r="B251" s="29" t="inlineStr"/>
      <c r="C251" s="25" t="inlineStr"/>
      <c r="D251" s="25" t="inlineStr">
        <is>
          <t>Total Water (BBLs)</t>
        </is>
      </c>
      <c r="E251" s="23" t="inlineStr">
        <is>
          <t>L</t>
        </is>
      </c>
      <c r="F251" s="26">
        <f>'Daily Inventory (Live Formulas)'!L104</f>
        <v/>
      </c>
      <c r="G251" s="27" t="inlineStr">
        <is>
          <t>SUM</t>
        </is>
      </c>
      <c r="H251" s="25" t="inlineStr"/>
    </row>
    <row r="252" ht="22" customHeight="1">
      <c r="A252" s="28" t="inlineStr"/>
      <c r="B252" s="29" t="inlineStr"/>
      <c r="C252" s="25" t="inlineStr"/>
      <c r="D252" s="25" t="inlineStr">
        <is>
          <t>BSW Feet</t>
        </is>
      </c>
      <c r="E252" s="23" t="inlineStr">
        <is>
          <t>M</t>
        </is>
      </c>
      <c r="F252" s="32">
        <f>"'Daily Inventory (Live Formulas)'!M104 — Raw data, no formula"</f>
        <v/>
      </c>
      <c r="G252" s="33" t="inlineStr">
        <is>
          <t>Raw Data</t>
        </is>
      </c>
      <c r="H252" s="25" t="inlineStr"/>
    </row>
    <row r="253" ht="22" customHeight="1">
      <c r="A253" s="28" t="inlineStr"/>
      <c r="B253" s="29" t="inlineStr"/>
      <c r="C253" s="25" t="inlineStr"/>
      <c r="D253" s="25" t="inlineStr">
        <is>
          <t>Volume of Available Product (BBLs)</t>
        </is>
      </c>
      <c r="E253" s="23" t="inlineStr">
        <is>
          <t>N</t>
        </is>
      </c>
      <c r="F253" s="26">
        <f>'Daily Inventory (Live Formulas)'!N104</f>
        <v/>
      </c>
      <c r="G253" s="27" t="inlineStr">
        <is>
          <t>SUM</t>
        </is>
      </c>
      <c r="H253" s="25" t="inlineStr"/>
    </row>
    <row r="254" ht="22" customHeight="1">
      <c r="A254" s="28" t="inlineStr"/>
      <c r="B254" s="29" t="inlineStr"/>
      <c r="C254" s="25" t="inlineStr"/>
      <c r="D254" s="25" t="inlineStr">
        <is>
          <t>Remaining Capacity (BBLs)</t>
        </is>
      </c>
      <c r="E254" s="23" t="inlineStr">
        <is>
          <t>O</t>
        </is>
      </c>
      <c r="F254" s="26">
        <f>'Daily Inventory (Live Formulas)'!O104</f>
        <v/>
      </c>
      <c r="G254" s="27" t="inlineStr">
        <is>
          <t>SUM</t>
        </is>
      </c>
      <c r="H254" s="25" t="inlineStr"/>
    </row>
    <row r="255" ht="22" customHeight="1">
      <c r="A255" s="28" t="inlineStr"/>
      <c r="B255" s="29" t="inlineStr"/>
      <c r="C255" s="25" t="inlineStr"/>
      <c r="D255" s="25" t="inlineStr">
        <is>
          <t>Inventory Change Net Vol (BBLs)</t>
        </is>
      </c>
      <c r="E255" s="23" t="inlineStr">
        <is>
          <t>P</t>
        </is>
      </c>
      <c r="F255" s="26">
        <f>'Daily Inventory (Live Formulas)'!P104</f>
        <v/>
      </c>
      <c r="G255" s="27" t="inlineStr">
        <is>
          <t>SUM</t>
        </is>
      </c>
      <c r="H255" s="25" t="inlineStr"/>
    </row>
    <row r="256" ht="22" customHeight="1">
      <c r="A256" s="7" t="n">
        <v>22</v>
      </c>
      <c r="B256" s="5" t="inlineStr">
        <is>
          <t>Acc_LNaphtha</t>
        </is>
      </c>
      <c r="C256" s="6" t="inlineStr">
        <is>
          <t>Light Naphtha</t>
        </is>
      </c>
      <c r="D256" s="6" t="inlineStr">
        <is>
          <t>Opening Net Volume (BBLs)</t>
        </is>
      </c>
      <c r="E256" s="7" t="inlineStr">
        <is>
          <t>E</t>
        </is>
      </c>
      <c r="F256" s="26">
        <f>'Daily Inventory (Live Formulas)'!E107</f>
        <v/>
      </c>
      <c r="G256" s="27" t="inlineStr">
        <is>
          <t>SUM</t>
        </is>
      </c>
      <c r="H256" s="6" t="inlineStr">
        <is>
          <t>TK93</t>
        </is>
      </c>
    </row>
    <row r="257" ht="22" customHeight="1">
      <c r="A257" s="34" t="inlineStr"/>
      <c r="B257" s="4" t="inlineStr"/>
      <c r="C257" s="6" t="inlineStr"/>
      <c r="D257" s="6" t="inlineStr">
        <is>
          <t>Opening Gravity</t>
        </is>
      </c>
      <c r="E257" s="7" t="inlineStr">
        <is>
          <t>F</t>
        </is>
      </c>
      <c r="F257" s="30">
        <f>AVERAGE('Daily Inventory (Live Formulas)'!F107)</f>
        <v/>
      </c>
      <c r="G257" s="31" t="inlineStr">
        <is>
          <t>AVERAGE</t>
        </is>
      </c>
      <c r="H257" s="6" t="inlineStr"/>
    </row>
    <row r="258" ht="22" customHeight="1">
      <c r="A258" s="34" t="inlineStr"/>
      <c r="B258" s="4" t="inlineStr"/>
      <c r="C258" s="6" t="inlineStr"/>
      <c r="D258" s="6" t="inlineStr">
        <is>
          <t>Closing Net Volume (BBLs)</t>
        </is>
      </c>
      <c r="E258" s="7" t="inlineStr">
        <is>
          <t>G</t>
        </is>
      </c>
      <c r="F258" s="26">
        <f>'Daily Inventory (Live Formulas)'!G107</f>
        <v/>
      </c>
      <c r="G258" s="27" t="inlineStr">
        <is>
          <t>SUM</t>
        </is>
      </c>
      <c r="H258" s="6" t="inlineStr"/>
    </row>
    <row r="259" ht="22" customHeight="1">
      <c r="A259" s="34" t="inlineStr"/>
      <c r="B259" s="4" t="inlineStr"/>
      <c r="C259" s="6" t="inlineStr"/>
      <c r="D259" s="6" t="inlineStr">
        <is>
          <t>Closing Gross Volume (BBLs)</t>
        </is>
      </c>
      <c r="E259" s="7" t="inlineStr">
        <is>
          <t>H</t>
        </is>
      </c>
      <c r="F259" s="26">
        <f>'Daily Inventory (Live Formulas)'!H107</f>
        <v/>
      </c>
      <c r="G259" s="27" t="inlineStr">
        <is>
          <t>SUM</t>
        </is>
      </c>
      <c r="H259" s="6" t="inlineStr"/>
    </row>
    <row r="260" ht="22" customHeight="1">
      <c r="A260" s="34" t="inlineStr"/>
      <c r="B260" s="4" t="inlineStr"/>
      <c r="C260" s="6" t="inlineStr"/>
      <c r="D260" s="6" t="inlineStr">
        <is>
          <t>Level Feet</t>
        </is>
      </c>
      <c r="E260" s="7" t="inlineStr">
        <is>
          <t>I</t>
        </is>
      </c>
      <c r="F260" s="32">
        <f>"'Daily Inventory (Live Formulas)'!I107 — Raw data, no formula"</f>
        <v/>
      </c>
      <c r="G260" s="33" t="inlineStr">
        <is>
          <t>Raw Data</t>
        </is>
      </c>
      <c r="H260" s="6" t="inlineStr"/>
    </row>
    <row r="261" ht="22" customHeight="1">
      <c r="A261" s="34" t="inlineStr"/>
      <c r="B261" s="4" t="inlineStr"/>
      <c r="C261" s="6" t="inlineStr"/>
      <c r="D261" s="6" t="inlineStr">
        <is>
          <t>Gravity (Closing)</t>
        </is>
      </c>
      <c r="E261" s="7" t="inlineStr">
        <is>
          <t>J</t>
        </is>
      </c>
      <c r="F261" s="30">
        <f>AVERAGE('Daily Inventory (Live Formulas)'!J107)</f>
        <v/>
      </c>
      <c r="G261" s="31" t="inlineStr">
        <is>
          <t>AVERAGE</t>
        </is>
      </c>
      <c r="H261" s="6" t="inlineStr"/>
    </row>
    <row r="262" ht="22" customHeight="1">
      <c r="A262" s="34" t="inlineStr"/>
      <c r="B262" s="4" t="inlineStr"/>
      <c r="C262" s="6" t="inlineStr"/>
      <c r="D262" s="6" t="inlineStr">
        <is>
          <t>Temperature</t>
        </is>
      </c>
      <c r="E262" s="7" t="inlineStr">
        <is>
          <t>K</t>
        </is>
      </c>
      <c r="F262" s="32">
        <f>"'Daily Inventory (Live Formulas)'!K107 — Raw data, no formula"</f>
        <v/>
      </c>
      <c r="G262" s="33" t="inlineStr">
        <is>
          <t>Raw Data</t>
        </is>
      </c>
      <c r="H262" s="6" t="inlineStr"/>
    </row>
    <row r="263" ht="22" customHeight="1">
      <c r="A263" s="34" t="inlineStr"/>
      <c r="B263" s="4" t="inlineStr"/>
      <c r="C263" s="6" t="inlineStr"/>
      <c r="D263" s="6" t="inlineStr">
        <is>
          <t>Total Water (BBLs)</t>
        </is>
      </c>
      <c r="E263" s="7" t="inlineStr">
        <is>
          <t>L</t>
        </is>
      </c>
      <c r="F263" s="26">
        <f>'Daily Inventory (Live Formulas)'!L107</f>
        <v/>
      </c>
      <c r="G263" s="27" t="inlineStr">
        <is>
          <t>SUM</t>
        </is>
      </c>
      <c r="H263" s="6" t="inlineStr"/>
    </row>
    <row r="264" ht="22" customHeight="1">
      <c r="A264" s="34" t="inlineStr"/>
      <c r="B264" s="4" t="inlineStr"/>
      <c r="C264" s="6" t="inlineStr"/>
      <c r="D264" s="6" t="inlineStr">
        <is>
          <t>BSW Feet</t>
        </is>
      </c>
      <c r="E264" s="7" t="inlineStr">
        <is>
          <t>M</t>
        </is>
      </c>
      <c r="F264" s="32">
        <f>"'Daily Inventory (Live Formulas)'!M107 — Raw data, no formula"</f>
        <v/>
      </c>
      <c r="G264" s="33" t="inlineStr">
        <is>
          <t>Raw Data</t>
        </is>
      </c>
      <c r="H264" s="6" t="inlineStr"/>
    </row>
    <row r="265" ht="22" customHeight="1">
      <c r="A265" s="34" t="inlineStr"/>
      <c r="B265" s="4" t="inlineStr"/>
      <c r="C265" s="6" t="inlineStr"/>
      <c r="D265" s="6" t="inlineStr">
        <is>
          <t>Volume of Available Product (BBLs)</t>
        </is>
      </c>
      <c r="E265" s="7" t="inlineStr">
        <is>
          <t>N</t>
        </is>
      </c>
      <c r="F265" s="26">
        <f>'Daily Inventory (Live Formulas)'!N107</f>
        <v/>
      </c>
      <c r="G265" s="27" t="inlineStr">
        <is>
          <t>SUM</t>
        </is>
      </c>
      <c r="H265" s="6" t="inlineStr"/>
    </row>
    <row r="266" ht="22" customHeight="1">
      <c r="A266" s="34" t="inlineStr"/>
      <c r="B266" s="4" t="inlineStr"/>
      <c r="C266" s="6" t="inlineStr"/>
      <c r="D266" s="6" t="inlineStr">
        <is>
          <t>Remaining Capacity (BBLs)</t>
        </is>
      </c>
      <c r="E266" s="7" t="inlineStr">
        <is>
          <t>O</t>
        </is>
      </c>
      <c r="F266" s="26">
        <f>'Daily Inventory (Live Formulas)'!O107</f>
        <v/>
      </c>
      <c r="G266" s="27" t="inlineStr">
        <is>
          <t>SUM</t>
        </is>
      </c>
      <c r="H266" s="6" t="inlineStr"/>
    </row>
    <row r="267" ht="22" customHeight="1">
      <c r="A267" s="34" t="inlineStr"/>
      <c r="B267" s="4" t="inlineStr"/>
      <c r="C267" s="6" t="inlineStr"/>
      <c r="D267" s="6" t="inlineStr">
        <is>
          <t>Inventory Change Net Vol (BBLs)</t>
        </is>
      </c>
      <c r="E267" s="7" t="inlineStr">
        <is>
          <t>P</t>
        </is>
      </c>
      <c r="F267" s="26">
        <f>'Daily Inventory (Live Formulas)'!P107</f>
        <v/>
      </c>
      <c r="G267" s="27" t="inlineStr">
        <is>
          <t>SUM</t>
        </is>
      </c>
      <c r="H267" s="6" t="inlineStr"/>
    </row>
    <row r="268" ht="22" customHeight="1">
      <c r="A268" s="23" t="n">
        <v>23</v>
      </c>
      <c r="B268" s="24" t="inlineStr">
        <is>
          <t>Acc_LowSulSlurry</t>
        </is>
      </c>
      <c r="C268" s="25" t="inlineStr">
        <is>
          <t>Low Sulfur Slurry</t>
        </is>
      </c>
      <c r="D268" s="25" t="inlineStr">
        <is>
          <t>Opening Net Volume (BBLs)</t>
        </is>
      </c>
      <c r="E268" s="23" t="inlineStr">
        <is>
          <t>E</t>
        </is>
      </c>
      <c r="F268" s="26">
        <f>'Daily Inventory (Live Formulas)'!E110</f>
        <v/>
      </c>
      <c r="G268" s="27" t="inlineStr">
        <is>
          <t>SUM</t>
        </is>
      </c>
      <c r="H268" s="25" t="inlineStr">
        <is>
          <t>TK11</t>
        </is>
      </c>
    </row>
    <row r="269" ht="22" customHeight="1">
      <c r="A269" s="28" t="inlineStr"/>
      <c r="B269" s="29" t="inlineStr"/>
      <c r="C269" s="25" t="inlineStr"/>
      <c r="D269" s="25" t="inlineStr">
        <is>
          <t>Opening Gravity</t>
        </is>
      </c>
      <c r="E269" s="23" t="inlineStr">
        <is>
          <t>F</t>
        </is>
      </c>
      <c r="F269" s="30">
        <f>AVERAGE('Daily Inventory (Live Formulas)'!F110)</f>
        <v/>
      </c>
      <c r="G269" s="31" t="inlineStr">
        <is>
          <t>AVERAGE</t>
        </is>
      </c>
      <c r="H269" s="25" t="inlineStr"/>
    </row>
    <row r="270" ht="22" customHeight="1">
      <c r="A270" s="28" t="inlineStr"/>
      <c r="B270" s="29" t="inlineStr"/>
      <c r="C270" s="25" t="inlineStr"/>
      <c r="D270" s="25" t="inlineStr">
        <is>
          <t>Closing Net Volume (BBLs)</t>
        </is>
      </c>
      <c r="E270" s="23" t="inlineStr">
        <is>
          <t>G</t>
        </is>
      </c>
      <c r="F270" s="26">
        <f>'Daily Inventory (Live Formulas)'!G110</f>
        <v/>
      </c>
      <c r="G270" s="27" t="inlineStr">
        <is>
          <t>SUM</t>
        </is>
      </c>
      <c r="H270" s="25" t="inlineStr"/>
    </row>
    <row r="271" ht="22" customHeight="1">
      <c r="A271" s="28" t="inlineStr"/>
      <c r="B271" s="29" t="inlineStr"/>
      <c r="C271" s="25" t="inlineStr"/>
      <c r="D271" s="25" t="inlineStr">
        <is>
          <t>Closing Gross Volume (BBLs)</t>
        </is>
      </c>
      <c r="E271" s="23" t="inlineStr">
        <is>
          <t>H</t>
        </is>
      </c>
      <c r="F271" s="26">
        <f>'Daily Inventory (Live Formulas)'!H110</f>
        <v/>
      </c>
      <c r="G271" s="27" t="inlineStr">
        <is>
          <t>SUM</t>
        </is>
      </c>
      <c r="H271" s="25" t="inlineStr"/>
    </row>
    <row r="272" ht="22" customHeight="1">
      <c r="A272" s="28" t="inlineStr"/>
      <c r="B272" s="29" t="inlineStr"/>
      <c r="C272" s="25" t="inlineStr"/>
      <c r="D272" s="25" t="inlineStr">
        <is>
          <t>Level Feet</t>
        </is>
      </c>
      <c r="E272" s="23" t="inlineStr">
        <is>
          <t>I</t>
        </is>
      </c>
      <c r="F272" s="32">
        <f>"'Daily Inventory (Live Formulas)'!I110 — Raw data, no formula"</f>
        <v/>
      </c>
      <c r="G272" s="33" t="inlineStr">
        <is>
          <t>Raw Data</t>
        </is>
      </c>
      <c r="H272" s="25" t="inlineStr"/>
    </row>
    <row r="273" ht="22" customHeight="1">
      <c r="A273" s="28" t="inlineStr"/>
      <c r="B273" s="29" t="inlineStr"/>
      <c r="C273" s="25" t="inlineStr"/>
      <c r="D273" s="25" t="inlineStr">
        <is>
          <t>Gravity (Closing)</t>
        </is>
      </c>
      <c r="E273" s="23" t="inlineStr">
        <is>
          <t>J</t>
        </is>
      </c>
      <c r="F273" s="30">
        <f>AVERAGE('Daily Inventory (Live Formulas)'!J110)</f>
        <v/>
      </c>
      <c r="G273" s="31" t="inlineStr">
        <is>
          <t>AVERAGE</t>
        </is>
      </c>
      <c r="H273" s="25" t="inlineStr"/>
    </row>
    <row r="274" ht="22" customHeight="1">
      <c r="A274" s="28" t="inlineStr"/>
      <c r="B274" s="29" t="inlineStr"/>
      <c r="C274" s="25" t="inlineStr"/>
      <c r="D274" s="25" t="inlineStr">
        <is>
          <t>Temperature</t>
        </is>
      </c>
      <c r="E274" s="23" t="inlineStr">
        <is>
          <t>K</t>
        </is>
      </c>
      <c r="F274" s="32">
        <f>"'Daily Inventory (Live Formulas)'!K110 — Raw data, no formula"</f>
        <v/>
      </c>
      <c r="G274" s="33" t="inlineStr">
        <is>
          <t>Raw Data</t>
        </is>
      </c>
      <c r="H274" s="25" t="inlineStr"/>
    </row>
    <row r="275" ht="22" customHeight="1">
      <c r="A275" s="28" t="inlineStr"/>
      <c r="B275" s="29" t="inlineStr"/>
      <c r="C275" s="25" t="inlineStr"/>
      <c r="D275" s="25" t="inlineStr">
        <is>
          <t>Total Water (BBLs)</t>
        </is>
      </c>
      <c r="E275" s="23" t="inlineStr">
        <is>
          <t>L</t>
        </is>
      </c>
      <c r="F275" s="26">
        <f>'Daily Inventory (Live Formulas)'!L110</f>
        <v/>
      </c>
      <c r="G275" s="27" t="inlineStr">
        <is>
          <t>SUM</t>
        </is>
      </c>
      <c r="H275" s="25" t="inlineStr"/>
    </row>
    <row r="276" ht="22" customHeight="1">
      <c r="A276" s="28" t="inlineStr"/>
      <c r="B276" s="29" t="inlineStr"/>
      <c r="C276" s="25" t="inlineStr"/>
      <c r="D276" s="25" t="inlineStr">
        <is>
          <t>BSW Feet</t>
        </is>
      </c>
      <c r="E276" s="23" t="inlineStr">
        <is>
          <t>M</t>
        </is>
      </c>
      <c r="F276" s="32">
        <f>"'Daily Inventory (Live Formulas)'!M110 — Raw data, no formula"</f>
        <v/>
      </c>
      <c r="G276" s="33" t="inlineStr">
        <is>
          <t>Raw Data</t>
        </is>
      </c>
      <c r="H276" s="25" t="inlineStr"/>
    </row>
    <row r="277" ht="22" customHeight="1">
      <c r="A277" s="28" t="inlineStr"/>
      <c r="B277" s="29" t="inlineStr"/>
      <c r="C277" s="25" t="inlineStr"/>
      <c r="D277" s="25" t="inlineStr">
        <is>
          <t>Volume of Available Product (BBLs)</t>
        </is>
      </c>
      <c r="E277" s="23" t="inlineStr">
        <is>
          <t>N</t>
        </is>
      </c>
      <c r="F277" s="26">
        <f>'Daily Inventory (Live Formulas)'!N110</f>
        <v/>
      </c>
      <c r="G277" s="27" t="inlineStr">
        <is>
          <t>SUM</t>
        </is>
      </c>
      <c r="H277" s="25" t="inlineStr"/>
    </row>
    <row r="278" ht="22" customHeight="1">
      <c r="A278" s="28" t="inlineStr"/>
      <c r="B278" s="29" t="inlineStr"/>
      <c r="C278" s="25" t="inlineStr"/>
      <c r="D278" s="25" t="inlineStr">
        <is>
          <t>Remaining Capacity (BBLs)</t>
        </is>
      </c>
      <c r="E278" s="23" t="inlineStr">
        <is>
          <t>O</t>
        </is>
      </c>
      <c r="F278" s="26">
        <f>'Daily Inventory (Live Formulas)'!O110</f>
        <v/>
      </c>
      <c r="G278" s="27" t="inlineStr">
        <is>
          <t>SUM</t>
        </is>
      </c>
      <c r="H278" s="25" t="inlineStr"/>
    </row>
    <row r="279" ht="22" customHeight="1">
      <c r="A279" s="28" t="inlineStr"/>
      <c r="B279" s="29" t="inlineStr"/>
      <c r="C279" s="25" t="inlineStr"/>
      <c r="D279" s="25" t="inlineStr">
        <is>
          <t>Inventory Change Net Vol (BBLs)</t>
        </is>
      </c>
      <c r="E279" s="23" t="inlineStr">
        <is>
          <t>P</t>
        </is>
      </c>
      <c r="F279" s="26">
        <f>'Daily Inventory (Live Formulas)'!P110</f>
        <v/>
      </c>
      <c r="G279" s="27" t="inlineStr">
        <is>
          <t>SUM</t>
        </is>
      </c>
      <c r="H279" s="25" t="inlineStr"/>
    </row>
    <row r="280" ht="22" customHeight="1">
      <c r="A280" s="7" t="n">
        <v>24</v>
      </c>
      <c r="B280" s="5" t="inlineStr">
        <is>
          <t>Acc_LSVGO</t>
        </is>
      </c>
      <c r="C280" s="6" t="inlineStr">
        <is>
          <t>Low Sulfur Vacuum Gas Oil</t>
        </is>
      </c>
      <c r="D280" s="6" t="inlineStr">
        <is>
          <t>Opening Net Volume (BBLs)</t>
        </is>
      </c>
      <c r="E280" s="7" t="inlineStr">
        <is>
          <t>E</t>
        </is>
      </c>
      <c r="F280" s="26">
        <f>'Daily Inventory (Live Formulas)'!E113+'Daily Inventory (Live Formulas)'!E114+'Daily Inventory (Live Formulas)'!E115+'Daily Inventory (Live Formulas)'!E116</f>
        <v/>
      </c>
      <c r="G280" s="27" t="inlineStr">
        <is>
          <t>SUM</t>
        </is>
      </c>
      <c r="H280" s="6" t="inlineStr">
        <is>
          <t>TK14, TK502, TK956, TK959</t>
        </is>
      </c>
    </row>
    <row r="281" ht="22" customHeight="1">
      <c r="A281" s="34" t="inlineStr"/>
      <c r="B281" s="4" t="inlineStr"/>
      <c r="C281" s="6" t="inlineStr"/>
      <c r="D281" s="6" t="inlineStr">
        <is>
          <t>Opening Gravity</t>
        </is>
      </c>
      <c r="E281" s="7" t="inlineStr">
        <is>
          <t>F</t>
        </is>
      </c>
      <c r="F281" s="30">
        <f>AVERAGE('Daily Inventory (Live Formulas)'!F113,'Daily Inventory (Live Formulas)'!F114,'Daily Inventory (Live Formulas)'!F115,'Daily Inventory (Live Formulas)'!F116)</f>
        <v/>
      </c>
      <c r="G281" s="31" t="inlineStr">
        <is>
          <t>AVERAGE</t>
        </is>
      </c>
      <c r="H281" s="6" t="inlineStr"/>
    </row>
    <row r="282" ht="22" customHeight="1">
      <c r="A282" s="34" t="inlineStr"/>
      <c r="B282" s="4" t="inlineStr"/>
      <c r="C282" s="6" t="inlineStr"/>
      <c r="D282" s="6" t="inlineStr">
        <is>
          <t>Closing Net Volume (BBLs)</t>
        </is>
      </c>
      <c r="E282" s="7" t="inlineStr">
        <is>
          <t>G</t>
        </is>
      </c>
      <c r="F282" s="26">
        <f>'Daily Inventory (Live Formulas)'!G113+'Daily Inventory (Live Formulas)'!G114+'Daily Inventory (Live Formulas)'!G115+'Daily Inventory (Live Formulas)'!G116</f>
        <v/>
      </c>
      <c r="G282" s="27" t="inlineStr">
        <is>
          <t>SUM</t>
        </is>
      </c>
      <c r="H282" s="6" t="inlineStr"/>
    </row>
    <row r="283" ht="22" customHeight="1">
      <c r="A283" s="34" t="inlineStr"/>
      <c r="B283" s="4" t="inlineStr"/>
      <c r="C283" s="6" t="inlineStr"/>
      <c r="D283" s="6" t="inlineStr">
        <is>
          <t>Closing Gross Volume (BBLs)</t>
        </is>
      </c>
      <c r="E283" s="7" t="inlineStr">
        <is>
          <t>H</t>
        </is>
      </c>
      <c r="F283" s="26">
        <f>'Daily Inventory (Live Formulas)'!H113+'Daily Inventory (Live Formulas)'!H114+'Daily Inventory (Live Formulas)'!H115+'Daily Inventory (Live Formulas)'!H116</f>
        <v/>
      </c>
      <c r="G283" s="27" t="inlineStr">
        <is>
          <t>SUM</t>
        </is>
      </c>
      <c r="H283" s="6" t="inlineStr"/>
    </row>
    <row r="284" ht="22" customHeight="1">
      <c r="A284" s="34" t="inlineStr"/>
      <c r="B284" s="4" t="inlineStr"/>
      <c r="C284" s="6" t="inlineStr"/>
      <c r="D284" s="6" t="inlineStr">
        <is>
          <t>Level Feet</t>
        </is>
      </c>
      <c r="E284" s="7" t="inlineStr">
        <is>
          <t>I</t>
        </is>
      </c>
      <c r="F284" s="32">
        <f>"'Daily Inventory (Live Formulas)'!I113 — Raw data, no formula"</f>
        <v/>
      </c>
      <c r="G284" s="33" t="inlineStr">
        <is>
          <t>Raw Data</t>
        </is>
      </c>
      <c r="H284" s="6" t="inlineStr"/>
    </row>
    <row r="285" ht="22" customHeight="1">
      <c r="A285" s="34" t="inlineStr"/>
      <c r="B285" s="4" t="inlineStr"/>
      <c r="C285" s="6" t="inlineStr"/>
      <c r="D285" s="6" t="inlineStr">
        <is>
          <t>Gravity (Closing)</t>
        </is>
      </c>
      <c r="E285" s="7" t="inlineStr">
        <is>
          <t>J</t>
        </is>
      </c>
      <c r="F285" s="30">
        <f>AVERAGE('Daily Inventory (Live Formulas)'!J113,'Daily Inventory (Live Formulas)'!J114,'Daily Inventory (Live Formulas)'!J115,'Daily Inventory (Live Formulas)'!J116)</f>
        <v/>
      </c>
      <c r="G285" s="31" t="inlineStr">
        <is>
          <t>AVERAGE</t>
        </is>
      </c>
      <c r="H285" s="6" t="inlineStr"/>
    </row>
    <row r="286" ht="22" customHeight="1">
      <c r="A286" s="34" t="inlineStr"/>
      <c r="B286" s="4" t="inlineStr"/>
      <c r="C286" s="6" t="inlineStr"/>
      <c r="D286" s="6" t="inlineStr">
        <is>
          <t>Temperature</t>
        </is>
      </c>
      <c r="E286" s="7" t="inlineStr">
        <is>
          <t>K</t>
        </is>
      </c>
      <c r="F286" s="32">
        <f>"'Daily Inventory (Live Formulas)'!K113 — Raw data, no formula"</f>
        <v/>
      </c>
      <c r="G286" s="33" t="inlineStr">
        <is>
          <t>Raw Data</t>
        </is>
      </c>
      <c r="H286" s="6" t="inlineStr"/>
    </row>
    <row r="287" ht="22" customHeight="1">
      <c r="A287" s="34" t="inlineStr"/>
      <c r="B287" s="4" t="inlineStr"/>
      <c r="C287" s="6" t="inlineStr"/>
      <c r="D287" s="6" t="inlineStr">
        <is>
          <t>Total Water (BBLs)</t>
        </is>
      </c>
      <c r="E287" s="7" t="inlineStr">
        <is>
          <t>L</t>
        </is>
      </c>
      <c r="F287" s="26">
        <f>'Daily Inventory (Live Formulas)'!L113+'Daily Inventory (Live Formulas)'!L114+'Daily Inventory (Live Formulas)'!L115+'Daily Inventory (Live Formulas)'!L116</f>
        <v/>
      </c>
      <c r="G287" s="27" t="inlineStr">
        <is>
          <t>SUM</t>
        </is>
      </c>
      <c r="H287" s="6" t="inlineStr"/>
    </row>
    <row r="288" ht="22" customHeight="1">
      <c r="A288" s="34" t="inlineStr"/>
      <c r="B288" s="4" t="inlineStr"/>
      <c r="C288" s="6" t="inlineStr"/>
      <c r="D288" s="6" t="inlineStr">
        <is>
          <t>BSW Feet</t>
        </is>
      </c>
      <c r="E288" s="7" t="inlineStr">
        <is>
          <t>M</t>
        </is>
      </c>
      <c r="F288" s="32">
        <f>"'Daily Inventory (Live Formulas)'!M113 — Raw data, no formula"</f>
        <v/>
      </c>
      <c r="G288" s="33" t="inlineStr">
        <is>
          <t>Raw Data</t>
        </is>
      </c>
      <c r="H288" s="6" t="inlineStr"/>
    </row>
    <row r="289" ht="22" customHeight="1">
      <c r="A289" s="34" t="inlineStr"/>
      <c r="B289" s="4" t="inlineStr"/>
      <c r="C289" s="6" t="inlineStr"/>
      <c r="D289" s="6" t="inlineStr">
        <is>
          <t>Volume of Available Product (BBLs)</t>
        </is>
      </c>
      <c r="E289" s="7" t="inlineStr">
        <is>
          <t>N</t>
        </is>
      </c>
      <c r="F289" s="26">
        <f>'Daily Inventory (Live Formulas)'!N113+'Daily Inventory (Live Formulas)'!N114+'Daily Inventory (Live Formulas)'!N115+'Daily Inventory (Live Formulas)'!N116</f>
        <v/>
      </c>
      <c r="G289" s="27" t="inlineStr">
        <is>
          <t>SUM</t>
        </is>
      </c>
      <c r="H289" s="6" t="inlineStr"/>
    </row>
    <row r="290" ht="22" customHeight="1">
      <c r="A290" s="34" t="inlineStr"/>
      <c r="B290" s="4" t="inlineStr"/>
      <c r="C290" s="6" t="inlineStr"/>
      <c r="D290" s="6" t="inlineStr">
        <is>
          <t>Remaining Capacity (BBLs)</t>
        </is>
      </c>
      <c r="E290" s="7" t="inlineStr">
        <is>
          <t>O</t>
        </is>
      </c>
      <c r="F290" s="26">
        <f>'Daily Inventory (Live Formulas)'!O113+'Daily Inventory (Live Formulas)'!O114+'Daily Inventory (Live Formulas)'!O115+'Daily Inventory (Live Formulas)'!O116</f>
        <v/>
      </c>
      <c r="G290" s="27" t="inlineStr">
        <is>
          <t>SUM</t>
        </is>
      </c>
      <c r="H290" s="6" t="inlineStr"/>
    </row>
    <row r="291" ht="22" customHeight="1">
      <c r="A291" s="34" t="inlineStr"/>
      <c r="B291" s="4" t="inlineStr"/>
      <c r="C291" s="6" t="inlineStr"/>
      <c r="D291" s="6" t="inlineStr">
        <is>
          <t>Inventory Change Net Vol (BBLs)</t>
        </is>
      </c>
      <c r="E291" s="7" t="inlineStr">
        <is>
          <t>P</t>
        </is>
      </c>
      <c r="F291" s="26">
        <f>'Daily Inventory (Live Formulas)'!P113+'Daily Inventory (Live Formulas)'!P114+'Daily Inventory (Live Formulas)'!P115+'Daily Inventory (Live Formulas)'!P116</f>
        <v/>
      </c>
      <c r="G291" s="27" t="inlineStr">
        <is>
          <t>SUM</t>
        </is>
      </c>
      <c r="H291" s="6" t="inlineStr"/>
    </row>
    <row r="292" ht="22" customHeight="1">
      <c r="A292" s="23" t="n">
        <v>25</v>
      </c>
      <c r="B292" s="24" t="inlineStr">
        <is>
          <t>Acc_LtCatGasoline</t>
        </is>
      </c>
      <c r="C292" s="25" t="inlineStr">
        <is>
          <t>Light Cat Gasoline</t>
        </is>
      </c>
      <c r="D292" s="25" t="inlineStr">
        <is>
          <t>Opening Net Volume (BBLs)</t>
        </is>
      </c>
      <c r="E292" s="23" t="inlineStr">
        <is>
          <t>E</t>
        </is>
      </c>
      <c r="F292" s="26">
        <f>'Daily Inventory (Live Formulas)'!E119</f>
        <v/>
      </c>
      <c r="G292" s="27" t="inlineStr">
        <is>
          <t>SUM</t>
        </is>
      </c>
      <c r="H292" s="25" t="inlineStr">
        <is>
          <t>TK68</t>
        </is>
      </c>
    </row>
    <row r="293" ht="22" customHeight="1">
      <c r="A293" s="28" t="inlineStr"/>
      <c r="B293" s="29" t="inlineStr"/>
      <c r="C293" s="25" t="inlineStr"/>
      <c r="D293" s="25" t="inlineStr">
        <is>
          <t>Opening Gravity</t>
        </is>
      </c>
      <c r="E293" s="23" t="inlineStr">
        <is>
          <t>F</t>
        </is>
      </c>
      <c r="F293" s="30">
        <f>AVERAGE('Daily Inventory (Live Formulas)'!F119)</f>
        <v/>
      </c>
      <c r="G293" s="31" t="inlineStr">
        <is>
          <t>AVERAGE</t>
        </is>
      </c>
      <c r="H293" s="25" t="inlineStr"/>
    </row>
    <row r="294" ht="22" customHeight="1">
      <c r="A294" s="28" t="inlineStr"/>
      <c r="B294" s="29" t="inlineStr"/>
      <c r="C294" s="25" t="inlineStr"/>
      <c r="D294" s="25" t="inlineStr">
        <is>
          <t>Closing Net Volume (BBLs)</t>
        </is>
      </c>
      <c r="E294" s="23" t="inlineStr">
        <is>
          <t>G</t>
        </is>
      </c>
      <c r="F294" s="26">
        <f>'Daily Inventory (Live Formulas)'!G119</f>
        <v/>
      </c>
      <c r="G294" s="27" t="inlineStr">
        <is>
          <t>SUM</t>
        </is>
      </c>
      <c r="H294" s="25" t="inlineStr"/>
    </row>
    <row r="295" ht="22" customHeight="1">
      <c r="A295" s="28" t="inlineStr"/>
      <c r="B295" s="29" t="inlineStr"/>
      <c r="C295" s="25" t="inlineStr"/>
      <c r="D295" s="25" t="inlineStr">
        <is>
          <t>Closing Gross Volume (BBLs)</t>
        </is>
      </c>
      <c r="E295" s="23" t="inlineStr">
        <is>
          <t>H</t>
        </is>
      </c>
      <c r="F295" s="26">
        <f>'Daily Inventory (Live Formulas)'!H119</f>
        <v/>
      </c>
      <c r="G295" s="27" t="inlineStr">
        <is>
          <t>SUM</t>
        </is>
      </c>
      <c r="H295" s="25" t="inlineStr"/>
    </row>
    <row r="296" ht="22" customHeight="1">
      <c r="A296" s="28" t="inlineStr"/>
      <c r="B296" s="29" t="inlineStr"/>
      <c r="C296" s="25" t="inlineStr"/>
      <c r="D296" s="25" t="inlineStr">
        <is>
          <t>Level Feet</t>
        </is>
      </c>
      <c r="E296" s="23" t="inlineStr">
        <is>
          <t>I</t>
        </is>
      </c>
      <c r="F296" s="32">
        <f>"'Daily Inventory (Live Formulas)'!I119 — Raw data, no formula"</f>
        <v/>
      </c>
      <c r="G296" s="33" t="inlineStr">
        <is>
          <t>Raw Data</t>
        </is>
      </c>
      <c r="H296" s="25" t="inlineStr"/>
    </row>
    <row r="297" ht="22" customHeight="1">
      <c r="A297" s="28" t="inlineStr"/>
      <c r="B297" s="29" t="inlineStr"/>
      <c r="C297" s="25" t="inlineStr"/>
      <c r="D297" s="25" t="inlineStr">
        <is>
          <t>Gravity (Closing)</t>
        </is>
      </c>
      <c r="E297" s="23" t="inlineStr">
        <is>
          <t>J</t>
        </is>
      </c>
      <c r="F297" s="30">
        <f>AVERAGE('Daily Inventory (Live Formulas)'!J119)</f>
        <v/>
      </c>
      <c r="G297" s="31" t="inlineStr">
        <is>
          <t>AVERAGE</t>
        </is>
      </c>
      <c r="H297" s="25" t="inlineStr"/>
    </row>
    <row r="298" ht="22" customHeight="1">
      <c r="A298" s="28" t="inlineStr"/>
      <c r="B298" s="29" t="inlineStr"/>
      <c r="C298" s="25" t="inlineStr"/>
      <c r="D298" s="25" t="inlineStr">
        <is>
          <t>Temperature</t>
        </is>
      </c>
      <c r="E298" s="23" t="inlineStr">
        <is>
          <t>K</t>
        </is>
      </c>
      <c r="F298" s="32">
        <f>"'Daily Inventory (Live Formulas)'!K119 — Raw data, no formula"</f>
        <v/>
      </c>
      <c r="G298" s="33" t="inlineStr">
        <is>
          <t>Raw Data</t>
        </is>
      </c>
      <c r="H298" s="25" t="inlineStr"/>
    </row>
    <row r="299" ht="22" customHeight="1">
      <c r="A299" s="28" t="inlineStr"/>
      <c r="B299" s="29" t="inlineStr"/>
      <c r="C299" s="25" t="inlineStr"/>
      <c r="D299" s="25" t="inlineStr">
        <is>
          <t>Total Water (BBLs)</t>
        </is>
      </c>
      <c r="E299" s="23" t="inlineStr">
        <is>
          <t>L</t>
        </is>
      </c>
      <c r="F299" s="26">
        <f>'Daily Inventory (Live Formulas)'!L119</f>
        <v/>
      </c>
      <c r="G299" s="27" t="inlineStr">
        <is>
          <t>SUM</t>
        </is>
      </c>
      <c r="H299" s="25" t="inlineStr"/>
    </row>
    <row r="300" ht="22" customHeight="1">
      <c r="A300" s="28" t="inlineStr"/>
      <c r="B300" s="29" t="inlineStr"/>
      <c r="C300" s="25" t="inlineStr"/>
      <c r="D300" s="25" t="inlineStr">
        <is>
          <t>BSW Feet</t>
        </is>
      </c>
      <c r="E300" s="23" t="inlineStr">
        <is>
          <t>M</t>
        </is>
      </c>
      <c r="F300" s="32">
        <f>"'Daily Inventory (Live Formulas)'!M119 — Raw data, no formula"</f>
        <v/>
      </c>
      <c r="G300" s="33" t="inlineStr">
        <is>
          <t>Raw Data</t>
        </is>
      </c>
      <c r="H300" s="25" t="inlineStr"/>
    </row>
    <row r="301" ht="22" customHeight="1">
      <c r="A301" s="28" t="inlineStr"/>
      <c r="B301" s="29" t="inlineStr"/>
      <c r="C301" s="25" t="inlineStr"/>
      <c r="D301" s="25" t="inlineStr">
        <is>
          <t>Volume of Available Product (BBLs)</t>
        </is>
      </c>
      <c r="E301" s="23" t="inlineStr">
        <is>
          <t>N</t>
        </is>
      </c>
      <c r="F301" s="26">
        <f>'Daily Inventory (Live Formulas)'!N119</f>
        <v/>
      </c>
      <c r="G301" s="27" t="inlineStr">
        <is>
          <t>SUM</t>
        </is>
      </c>
      <c r="H301" s="25" t="inlineStr"/>
    </row>
    <row r="302" ht="22" customHeight="1">
      <c r="A302" s="28" t="inlineStr"/>
      <c r="B302" s="29" t="inlineStr"/>
      <c r="C302" s="25" t="inlineStr"/>
      <c r="D302" s="25" t="inlineStr">
        <is>
          <t>Remaining Capacity (BBLs)</t>
        </is>
      </c>
      <c r="E302" s="23" t="inlineStr">
        <is>
          <t>O</t>
        </is>
      </c>
      <c r="F302" s="26">
        <f>'Daily Inventory (Live Formulas)'!O119</f>
        <v/>
      </c>
      <c r="G302" s="27" t="inlineStr">
        <is>
          <t>SUM</t>
        </is>
      </c>
      <c r="H302" s="25" t="inlineStr"/>
    </row>
    <row r="303" ht="22" customHeight="1">
      <c r="A303" s="28" t="inlineStr"/>
      <c r="B303" s="29" t="inlineStr"/>
      <c r="C303" s="25" t="inlineStr"/>
      <c r="D303" s="25" t="inlineStr">
        <is>
          <t>Inventory Change Net Vol (BBLs)</t>
        </is>
      </c>
      <c r="E303" s="23" t="inlineStr">
        <is>
          <t>P</t>
        </is>
      </c>
      <c r="F303" s="26">
        <f>'Daily Inventory (Live Formulas)'!P119</f>
        <v/>
      </c>
      <c r="G303" s="27" t="inlineStr">
        <is>
          <t>SUM</t>
        </is>
      </c>
      <c r="H303" s="25" t="inlineStr"/>
    </row>
    <row r="304" ht="22" customHeight="1">
      <c r="A304" s="7" t="n">
        <v>26</v>
      </c>
      <c r="B304" s="5" t="inlineStr">
        <is>
          <t>Acc_MedCatGasoline</t>
        </is>
      </c>
      <c r="C304" s="6" t="inlineStr">
        <is>
          <t>Medium Cat Gasoline</t>
        </is>
      </c>
      <c r="D304" s="6" t="inlineStr">
        <is>
          <t>Opening Net Volume (BBLs)</t>
        </is>
      </c>
      <c r="E304" s="7" t="inlineStr">
        <is>
          <t>E</t>
        </is>
      </c>
      <c r="F304" s="26">
        <f>'Daily Inventory (Live Formulas)'!E122</f>
        <v/>
      </c>
      <c r="G304" s="27" t="inlineStr">
        <is>
          <t>SUM</t>
        </is>
      </c>
      <c r="H304" s="6" t="inlineStr">
        <is>
          <t>TK66</t>
        </is>
      </c>
    </row>
    <row r="305" ht="22" customHeight="1">
      <c r="A305" s="34" t="inlineStr"/>
      <c r="B305" s="4" t="inlineStr"/>
      <c r="C305" s="6" t="inlineStr"/>
      <c r="D305" s="6" t="inlineStr">
        <is>
          <t>Opening Gravity</t>
        </is>
      </c>
      <c r="E305" s="7" t="inlineStr">
        <is>
          <t>F</t>
        </is>
      </c>
      <c r="F305" s="30">
        <f>AVERAGE('Daily Inventory (Live Formulas)'!F122)</f>
        <v/>
      </c>
      <c r="G305" s="31" t="inlineStr">
        <is>
          <t>AVERAGE</t>
        </is>
      </c>
      <c r="H305" s="6" t="inlineStr"/>
    </row>
    <row r="306" ht="22" customHeight="1">
      <c r="A306" s="34" t="inlineStr"/>
      <c r="B306" s="4" t="inlineStr"/>
      <c r="C306" s="6" t="inlineStr"/>
      <c r="D306" s="6" t="inlineStr">
        <is>
          <t>Closing Net Volume (BBLs)</t>
        </is>
      </c>
      <c r="E306" s="7" t="inlineStr">
        <is>
          <t>G</t>
        </is>
      </c>
      <c r="F306" s="26">
        <f>'Daily Inventory (Live Formulas)'!G122</f>
        <v/>
      </c>
      <c r="G306" s="27" t="inlineStr">
        <is>
          <t>SUM</t>
        </is>
      </c>
      <c r="H306" s="6" t="inlineStr"/>
    </row>
    <row r="307" ht="22" customHeight="1">
      <c r="A307" s="34" t="inlineStr"/>
      <c r="B307" s="4" t="inlineStr"/>
      <c r="C307" s="6" t="inlineStr"/>
      <c r="D307" s="6" t="inlineStr">
        <is>
          <t>Closing Gross Volume (BBLs)</t>
        </is>
      </c>
      <c r="E307" s="7" t="inlineStr">
        <is>
          <t>H</t>
        </is>
      </c>
      <c r="F307" s="26">
        <f>'Daily Inventory (Live Formulas)'!H122</f>
        <v/>
      </c>
      <c r="G307" s="27" t="inlineStr">
        <is>
          <t>SUM</t>
        </is>
      </c>
      <c r="H307" s="6" t="inlineStr"/>
    </row>
    <row r="308" ht="22" customHeight="1">
      <c r="A308" s="34" t="inlineStr"/>
      <c r="B308" s="4" t="inlineStr"/>
      <c r="C308" s="6" t="inlineStr"/>
      <c r="D308" s="6" t="inlineStr">
        <is>
          <t>Level Feet</t>
        </is>
      </c>
      <c r="E308" s="7" t="inlineStr">
        <is>
          <t>I</t>
        </is>
      </c>
      <c r="F308" s="32">
        <f>"'Daily Inventory (Live Formulas)'!I122 — Raw data, no formula"</f>
        <v/>
      </c>
      <c r="G308" s="33" t="inlineStr">
        <is>
          <t>Raw Data</t>
        </is>
      </c>
      <c r="H308" s="6" t="inlineStr"/>
    </row>
    <row r="309" ht="22" customHeight="1">
      <c r="A309" s="34" t="inlineStr"/>
      <c r="B309" s="4" t="inlineStr"/>
      <c r="C309" s="6" t="inlineStr"/>
      <c r="D309" s="6" t="inlineStr">
        <is>
          <t>Gravity (Closing)</t>
        </is>
      </c>
      <c r="E309" s="7" t="inlineStr">
        <is>
          <t>J</t>
        </is>
      </c>
      <c r="F309" s="30">
        <f>AVERAGE('Daily Inventory (Live Formulas)'!J122)</f>
        <v/>
      </c>
      <c r="G309" s="31" t="inlineStr">
        <is>
          <t>AVERAGE</t>
        </is>
      </c>
      <c r="H309" s="6" t="inlineStr"/>
    </row>
    <row r="310" ht="22" customHeight="1">
      <c r="A310" s="34" t="inlineStr"/>
      <c r="B310" s="4" t="inlineStr"/>
      <c r="C310" s="6" t="inlineStr"/>
      <c r="D310" s="6" t="inlineStr">
        <is>
          <t>Temperature</t>
        </is>
      </c>
      <c r="E310" s="7" t="inlineStr">
        <is>
          <t>K</t>
        </is>
      </c>
      <c r="F310" s="32">
        <f>"'Daily Inventory (Live Formulas)'!K122 — Raw data, no formula"</f>
        <v/>
      </c>
      <c r="G310" s="33" t="inlineStr">
        <is>
          <t>Raw Data</t>
        </is>
      </c>
      <c r="H310" s="6" t="inlineStr"/>
    </row>
    <row r="311" ht="22" customHeight="1">
      <c r="A311" s="34" t="inlineStr"/>
      <c r="B311" s="4" t="inlineStr"/>
      <c r="C311" s="6" t="inlineStr"/>
      <c r="D311" s="6" t="inlineStr">
        <is>
          <t>Total Water (BBLs)</t>
        </is>
      </c>
      <c r="E311" s="7" t="inlineStr">
        <is>
          <t>L</t>
        </is>
      </c>
      <c r="F311" s="26">
        <f>'Daily Inventory (Live Formulas)'!L122</f>
        <v/>
      </c>
      <c r="G311" s="27" t="inlineStr">
        <is>
          <t>SUM</t>
        </is>
      </c>
      <c r="H311" s="6" t="inlineStr"/>
    </row>
    <row r="312" ht="22" customHeight="1">
      <c r="A312" s="34" t="inlineStr"/>
      <c r="B312" s="4" t="inlineStr"/>
      <c r="C312" s="6" t="inlineStr"/>
      <c r="D312" s="6" t="inlineStr">
        <is>
          <t>BSW Feet</t>
        </is>
      </c>
      <c r="E312" s="7" t="inlineStr">
        <is>
          <t>M</t>
        </is>
      </c>
      <c r="F312" s="32">
        <f>"'Daily Inventory (Live Formulas)'!M122 — Raw data, no formula"</f>
        <v/>
      </c>
      <c r="G312" s="33" t="inlineStr">
        <is>
          <t>Raw Data</t>
        </is>
      </c>
      <c r="H312" s="6" t="inlineStr"/>
    </row>
    <row r="313" ht="22" customHeight="1">
      <c r="A313" s="34" t="inlineStr"/>
      <c r="B313" s="4" t="inlineStr"/>
      <c r="C313" s="6" t="inlineStr"/>
      <c r="D313" s="6" t="inlineStr">
        <is>
          <t>Volume of Available Product (BBLs)</t>
        </is>
      </c>
      <c r="E313" s="7" t="inlineStr">
        <is>
          <t>N</t>
        </is>
      </c>
      <c r="F313" s="26">
        <f>'Daily Inventory (Live Formulas)'!N122</f>
        <v/>
      </c>
      <c r="G313" s="27" t="inlineStr">
        <is>
          <t>SUM</t>
        </is>
      </c>
      <c r="H313" s="6" t="inlineStr"/>
    </row>
    <row r="314" ht="22" customHeight="1">
      <c r="A314" s="34" t="inlineStr"/>
      <c r="B314" s="4" t="inlineStr"/>
      <c r="C314" s="6" t="inlineStr"/>
      <c r="D314" s="6" t="inlineStr">
        <is>
          <t>Remaining Capacity (BBLs)</t>
        </is>
      </c>
      <c r="E314" s="7" t="inlineStr">
        <is>
          <t>O</t>
        </is>
      </c>
      <c r="F314" s="26">
        <f>'Daily Inventory (Live Formulas)'!O122</f>
        <v/>
      </c>
      <c r="G314" s="27" t="inlineStr">
        <is>
          <t>SUM</t>
        </is>
      </c>
      <c r="H314" s="6" t="inlineStr"/>
    </row>
    <row r="315" ht="22" customHeight="1">
      <c r="A315" s="34" t="inlineStr"/>
      <c r="B315" s="4" t="inlineStr"/>
      <c r="C315" s="6" t="inlineStr"/>
      <c r="D315" s="6" t="inlineStr">
        <is>
          <t>Inventory Change Net Vol (BBLs)</t>
        </is>
      </c>
      <c r="E315" s="7" t="inlineStr">
        <is>
          <t>P</t>
        </is>
      </c>
      <c r="F315" s="26">
        <f>'Daily Inventory (Live Formulas)'!P122</f>
        <v/>
      </c>
      <c r="G315" s="27" t="inlineStr">
        <is>
          <t>SUM</t>
        </is>
      </c>
      <c r="H315" s="6" t="inlineStr"/>
    </row>
    <row r="316" ht="22" customHeight="1">
      <c r="A316" s="23" t="n">
        <v>27</v>
      </c>
      <c r="B316" s="24" t="inlineStr">
        <is>
          <t>Acc_MixedButane</t>
        </is>
      </c>
      <c r="C316" s="25" t="inlineStr">
        <is>
          <t>Mixed Butane</t>
        </is>
      </c>
      <c r="D316" s="25" t="inlineStr">
        <is>
          <t>Opening Net Volume (BBLs)</t>
        </is>
      </c>
      <c r="E316" s="23" t="inlineStr">
        <is>
          <t>E</t>
        </is>
      </c>
      <c r="F316" s="26">
        <f>'Daily Inventory (Live Formulas)'!E125+'Daily Inventory (Live Formulas)'!E126</f>
        <v/>
      </c>
      <c r="G316" s="27" t="inlineStr">
        <is>
          <t>SUM</t>
        </is>
      </c>
      <c r="H316" s="25" t="inlineStr">
        <is>
          <t>TK683, TK73</t>
        </is>
      </c>
    </row>
    <row r="317" ht="22" customHeight="1">
      <c r="A317" s="28" t="inlineStr"/>
      <c r="B317" s="29" t="inlineStr"/>
      <c r="C317" s="25" t="inlineStr"/>
      <c r="D317" s="25" t="inlineStr">
        <is>
          <t>Opening Gravity</t>
        </is>
      </c>
      <c r="E317" s="23" t="inlineStr">
        <is>
          <t>F</t>
        </is>
      </c>
      <c r="F317" s="30">
        <f>AVERAGE('Daily Inventory (Live Formulas)'!F125,'Daily Inventory (Live Formulas)'!F126)</f>
        <v/>
      </c>
      <c r="G317" s="31" t="inlineStr">
        <is>
          <t>AVERAGE</t>
        </is>
      </c>
      <c r="H317" s="25" t="inlineStr"/>
    </row>
    <row r="318" ht="22" customHeight="1">
      <c r="A318" s="28" t="inlineStr"/>
      <c r="B318" s="29" t="inlineStr"/>
      <c r="C318" s="25" t="inlineStr"/>
      <c r="D318" s="25" t="inlineStr">
        <is>
          <t>Closing Net Volume (BBLs)</t>
        </is>
      </c>
      <c r="E318" s="23" t="inlineStr">
        <is>
          <t>G</t>
        </is>
      </c>
      <c r="F318" s="26">
        <f>'Daily Inventory (Live Formulas)'!G125+'Daily Inventory (Live Formulas)'!G126</f>
        <v/>
      </c>
      <c r="G318" s="27" t="inlineStr">
        <is>
          <t>SUM</t>
        </is>
      </c>
      <c r="H318" s="25" t="inlineStr"/>
    </row>
    <row r="319" ht="22" customHeight="1">
      <c r="A319" s="28" t="inlineStr"/>
      <c r="B319" s="29" t="inlineStr"/>
      <c r="C319" s="25" t="inlineStr"/>
      <c r="D319" s="25" t="inlineStr">
        <is>
          <t>Closing Gross Volume (BBLs)</t>
        </is>
      </c>
      <c r="E319" s="23" t="inlineStr">
        <is>
          <t>H</t>
        </is>
      </c>
      <c r="F319" s="26">
        <f>'Daily Inventory (Live Formulas)'!H125+'Daily Inventory (Live Formulas)'!H126</f>
        <v/>
      </c>
      <c r="G319" s="27" t="inlineStr">
        <is>
          <t>SUM</t>
        </is>
      </c>
      <c r="H319" s="25" t="inlineStr"/>
    </row>
    <row r="320" ht="22" customHeight="1">
      <c r="A320" s="28" t="inlineStr"/>
      <c r="B320" s="29" t="inlineStr"/>
      <c r="C320" s="25" t="inlineStr"/>
      <c r="D320" s="25" t="inlineStr">
        <is>
          <t>Level Feet</t>
        </is>
      </c>
      <c r="E320" s="23" t="inlineStr">
        <is>
          <t>I</t>
        </is>
      </c>
      <c r="F320" s="32">
        <f>"'Daily Inventory (Live Formulas)'!I125 — Raw data, no formula"</f>
        <v/>
      </c>
      <c r="G320" s="33" t="inlineStr">
        <is>
          <t>Raw Data</t>
        </is>
      </c>
      <c r="H320" s="25" t="inlineStr"/>
    </row>
    <row r="321" ht="22" customHeight="1">
      <c r="A321" s="28" t="inlineStr"/>
      <c r="B321" s="29" t="inlineStr"/>
      <c r="C321" s="25" t="inlineStr"/>
      <c r="D321" s="25" t="inlineStr">
        <is>
          <t>Gravity (Closing)</t>
        </is>
      </c>
      <c r="E321" s="23" t="inlineStr">
        <is>
          <t>J</t>
        </is>
      </c>
      <c r="F321" s="30">
        <f>AVERAGE('Daily Inventory (Live Formulas)'!J125,'Daily Inventory (Live Formulas)'!J126)</f>
        <v/>
      </c>
      <c r="G321" s="31" t="inlineStr">
        <is>
          <t>AVERAGE</t>
        </is>
      </c>
      <c r="H321" s="25" t="inlineStr"/>
    </row>
    <row r="322" ht="22" customHeight="1">
      <c r="A322" s="28" t="inlineStr"/>
      <c r="B322" s="29" t="inlineStr"/>
      <c r="C322" s="25" t="inlineStr"/>
      <c r="D322" s="25" t="inlineStr">
        <is>
          <t>Temperature</t>
        </is>
      </c>
      <c r="E322" s="23" t="inlineStr">
        <is>
          <t>K</t>
        </is>
      </c>
      <c r="F322" s="32">
        <f>"'Daily Inventory (Live Formulas)'!K125 — Raw data, no formula"</f>
        <v/>
      </c>
      <c r="G322" s="33" t="inlineStr">
        <is>
          <t>Raw Data</t>
        </is>
      </c>
      <c r="H322" s="25" t="inlineStr"/>
    </row>
    <row r="323" ht="22" customHeight="1">
      <c r="A323" s="28" t="inlineStr"/>
      <c r="B323" s="29" t="inlineStr"/>
      <c r="C323" s="25" t="inlineStr"/>
      <c r="D323" s="25" t="inlineStr">
        <is>
          <t>Total Water (BBLs)</t>
        </is>
      </c>
      <c r="E323" s="23" t="inlineStr">
        <is>
          <t>L</t>
        </is>
      </c>
      <c r="F323" s="26">
        <f>'Daily Inventory (Live Formulas)'!L125+'Daily Inventory (Live Formulas)'!L126</f>
        <v/>
      </c>
      <c r="G323" s="27" t="inlineStr">
        <is>
          <t>SUM</t>
        </is>
      </c>
      <c r="H323" s="25" t="inlineStr"/>
    </row>
    <row r="324" ht="22" customHeight="1">
      <c r="A324" s="28" t="inlineStr"/>
      <c r="B324" s="29" t="inlineStr"/>
      <c r="C324" s="25" t="inlineStr"/>
      <c r="D324" s="25" t="inlineStr">
        <is>
          <t>BSW Feet</t>
        </is>
      </c>
      <c r="E324" s="23" t="inlineStr">
        <is>
          <t>M</t>
        </is>
      </c>
      <c r="F324" s="32">
        <f>"'Daily Inventory (Live Formulas)'!M125 — Raw data, no formula"</f>
        <v/>
      </c>
      <c r="G324" s="33" t="inlineStr">
        <is>
          <t>Raw Data</t>
        </is>
      </c>
      <c r="H324" s="25" t="inlineStr"/>
    </row>
    <row r="325" ht="22" customHeight="1">
      <c r="A325" s="28" t="inlineStr"/>
      <c r="B325" s="29" t="inlineStr"/>
      <c r="C325" s="25" t="inlineStr"/>
      <c r="D325" s="25" t="inlineStr">
        <is>
          <t>Volume of Available Product (BBLs)</t>
        </is>
      </c>
      <c r="E325" s="23" t="inlineStr">
        <is>
          <t>N</t>
        </is>
      </c>
      <c r="F325" s="26">
        <f>'Daily Inventory (Live Formulas)'!N125+'Daily Inventory (Live Formulas)'!N126</f>
        <v/>
      </c>
      <c r="G325" s="27" t="inlineStr">
        <is>
          <t>SUM</t>
        </is>
      </c>
      <c r="H325" s="25" t="inlineStr"/>
    </row>
    <row r="326" ht="22" customHeight="1">
      <c r="A326" s="28" t="inlineStr"/>
      <c r="B326" s="29" t="inlineStr"/>
      <c r="C326" s="25" t="inlineStr"/>
      <c r="D326" s="25" t="inlineStr">
        <is>
          <t>Remaining Capacity (BBLs)</t>
        </is>
      </c>
      <c r="E326" s="23" t="inlineStr">
        <is>
          <t>O</t>
        </is>
      </c>
      <c r="F326" s="26">
        <f>'Daily Inventory (Live Formulas)'!O125+'Daily Inventory (Live Formulas)'!O126</f>
        <v/>
      </c>
      <c r="G326" s="27" t="inlineStr">
        <is>
          <t>SUM</t>
        </is>
      </c>
      <c r="H326" s="25" t="inlineStr"/>
    </row>
    <row r="327" ht="22" customHeight="1">
      <c r="A327" s="28" t="inlineStr"/>
      <c r="B327" s="29" t="inlineStr"/>
      <c r="C327" s="25" t="inlineStr"/>
      <c r="D327" s="25" t="inlineStr">
        <is>
          <t>Inventory Change Net Vol (BBLs)</t>
        </is>
      </c>
      <c r="E327" s="23" t="inlineStr">
        <is>
          <t>P</t>
        </is>
      </c>
      <c r="F327" s="26">
        <f>'Daily Inventory (Live Formulas)'!P125+'Daily Inventory (Live Formulas)'!P126</f>
        <v/>
      </c>
      <c r="G327" s="27" t="inlineStr">
        <is>
          <t>SUM</t>
        </is>
      </c>
      <c r="H327" s="25" t="inlineStr"/>
    </row>
    <row r="328" ht="22" customHeight="1">
      <c r="A328" s="7" t="n">
        <v>28</v>
      </c>
      <c r="B328" s="5" t="inlineStr">
        <is>
          <t>Acc_MixedPentane</t>
        </is>
      </c>
      <c r="C328" s="6" t="inlineStr">
        <is>
          <t>Mixed Pentanes</t>
        </is>
      </c>
      <c r="D328" s="6" t="inlineStr">
        <is>
          <t>Opening Net Volume (BBLs)</t>
        </is>
      </c>
      <c r="E328" s="7" t="inlineStr">
        <is>
          <t>E</t>
        </is>
      </c>
      <c r="F328" s="26">
        <f>'Daily Inventory (Live Formulas)'!E129+'Daily Inventory (Live Formulas)'!E130+'Daily Inventory (Live Formulas)'!E131</f>
        <v/>
      </c>
      <c r="G328" s="27" t="inlineStr">
        <is>
          <t>SUM</t>
        </is>
      </c>
      <c r="H328" s="6" t="inlineStr">
        <is>
          <t>TK138, TK139, TK684</t>
        </is>
      </c>
    </row>
    <row r="329" ht="22" customHeight="1">
      <c r="A329" s="34" t="inlineStr"/>
      <c r="B329" s="4" t="inlineStr"/>
      <c r="C329" s="6" t="inlineStr"/>
      <c r="D329" s="6" t="inlineStr">
        <is>
          <t>Opening Gravity</t>
        </is>
      </c>
      <c r="E329" s="7" t="inlineStr">
        <is>
          <t>F</t>
        </is>
      </c>
      <c r="F329" s="30">
        <f>AVERAGE('Daily Inventory (Live Formulas)'!F129,'Daily Inventory (Live Formulas)'!F130,'Daily Inventory (Live Formulas)'!F131)</f>
        <v/>
      </c>
      <c r="G329" s="31" t="inlineStr">
        <is>
          <t>AVERAGE</t>
        </is>
      </c>
      <c r="H329" s="6" t="inlineStr"/>
    </row>
    <row r="330" ht="22" customHeight="1">
      <c r="A330" s="34" t="inlineStr"/>
      <c r="B330" s="4" t="inlineStr"/>
      <c r="C330" s="6" t="inlineStr"/>
      <c r="D330" s="6" t="inlineStr">
        <is>
          <t>Closing Net Volume (BBLs)</t>
        </is>
      </c>
      <c r="E330" s="7" t="inlineStr">
        <is>
          <t>G</t>
        </is>
      </c>
      <c r="F330" s="26">
        <f>'Daily Inventory (Live Formulas)'!G129+'Daily Inventory (Live Formulas)'!G130+'Daily Inventory (Live Formulas)'!G131</f>
        <v/>
      </c>
      <c r="G330" s="27" t="inlineStr">
        <is>
          <t>SUM</t>
        </is>
      </c>
      <c r="H330" s="6" t="inlineStr"/>
    </row>
    <row r="331" ht="22" customHeight="1">
      <c r="A331" s="34" t="inlineStr"/>
      <c r="B331" s="4" t="inlineStr"/>
      <c r="C331" s="6" t="inlineStr"/>
      <c r="D331" s="6" t="inlineStr">
        <is>
          <t>Closing Gross Volume (BBLs)</t>
        </is>
      </c>
      <c r="E331" s="7" t="inlineStr">
        <is>
          <t>H</t>
        </is>
      </c>
      <c r="F331" s="26">
        <f>'Daily Inventory (Live Formulas)'!H129+'Daily Inventory (Live Formulas)'!H130+'Daily Inventory (Live Formulas)'!H131</f>
        <v/>
      </c>
      <c r="G331" s="27" t="inlineStr">
        <is>
          <t>SUM</t>
        </is>
      </c>
      <c r="H331" s="6" t="inlineStr"/>
    </row>
    <row r="332" ht="22" customHeight="1">
      <c r="A332" s="34" t="inlineStr"/>
      <c r="B332" s="4" t="inlineStr"/>
      <c r="C332" s="6" t="inlineStr"/>
      <c r="D332" s="6" t="inlineStr">
        <is>
          <t>Level Feet</t>
        </is>
      </c>
      <c r="E332" s="7" t="inlineStr">
        <is>
          <t>I</t>
        </is>
      </c>
      <c r="F332" s="32">
        <f>"'Daily Inventory (Live Formulas)'!I129 — Raw data, no formula"</f>
        <v/>
      </c>
      <c r="G332" s="33" t="inlineStr">
        <is>
          <t>Raw Data</t>
        </is>
      </c>
      <c r="H332" s="6" t="inlineStr"/>
    </row>
    <row r="333" ht="22" customHeight="1">
      <c r="A333" s="34" t="inlineStr"/>
      <c r="B333" s="4" t="inlineStr"/>
      <c r="C333" s="6" t="inlineStr"/>
      <c r="D333" s="6" t="inlineStr">
        <is>
          <t>Gravity (Closing)</t>
        </is>
      </c>
      <c r="E333" s="7" t="inlineStr">
        <is>
          <t>J</t>
        </is>
      </c>
      <c r="F333" s="30">
        <f>AVERAGE('Daily Inventory (Live Formulas)'!J129,'Daily Inventory (Live Formulas)'!J130,'Daily Inventory (Live Formulas)'!J131)</f>
        <v/>
      </c>
      <c r="G333" s="31" t="inlineStr">
        <is>
          <t>AVERAGE</t>
        </is>
      </c>
      <c r="H333" s="6" t="inlineStr"/>
    </row>
    <row r="334" ht="22" customHeight="1">
      <c r="A334" s="34" t="inlineStr"/>
      <c r="B334" s="4" t="inlineStr"/>
      <c r="C334" s="6" t="inlineStr"/>
      <c r="D334" s="6" t="inlineStr">
        <is>
          <t>Temperature</t>
        </is>
      </c>
      <c r="E334" s="7" t="inlineStr">
        <is>
          <t>K</t>
        </is>
      </c>
      <c r="F334" s="32">
        <f>"'Daily Inventory (Live Formulas)'!K129 — Raw data, no formula"</f>
        <v/>
      </c>
      <c r="G334" s="33" t="inlineStr">
        <is>
          <t>Raw Data</t>
        </is>
      </c>
      <c r="H334" s="6" t="inlineStr"/>
    </row>
    <row r="335" ht="22" customHeight="1">
      <c r="A335" s="34" t="inlineStr"/>
      <c r="B335" s="4" t="inlineStr"/>
      <c r="C335" s="6" t="inlineStr"/>
      <c r="D335" s="6" t="inlineStr">
        <is>
          <t>Total Water (BBLs)</t>
        </is>
      </c>
      <c r="E335" s="7" t="inlineStr">
        <is>
          <t>L</t>
        </is>
      </c>
      <c r="F335" s="26">
        <f>'Daily Inventory (Live Formulas)'!L129+'Daily Inventory (Live Formulas)'!L130+'Daily Inventory (Live Formulas)'!L131</f>
        <v/>
      </c>
      <c r="G335" s="27" t="inlineStr">
        <is>
          <t>SUM</t>
        </is>
      </c>
      <c r="H335" s="6" t="inlineStr"/>
    </row>
    <row r="336" ht="22" customHeight="1">
      <c r="A336" s="34" t="inlineStr"/>
      <c r="B336" s="4" t="inlineStr"/>
      <c r="C336" s="6" t="inlineStr"/>
      <c r="D336" s="6" t="inlineStr">
        <is>
          <t>BSW Feet</t>
        </is>
      </c>
      <c r="E336" s="7" t="inlineStr">
        <is>
          <t>M</t>
        </is>
      </c>
      <c r="F336" s="32">
        <f>"'Daily Inventory (Live Formulas)'!M129 — Raw data, no formula"</f>
        <v/>
      </c>
      <c r="G336" s="33" t="inlineStr">
        <is>
          <t>Raw Data</t>
        </is>
      </c>
      <c r="H336" s="6" t="inlineStr"/>
    </row>
    <row r="337" ht="22" customHeight="1">
      <c r="A337" s="34" t="inlineStr"/>
      <c r="B337" s="4" t="inlineStr"/>
      <c r="C337" s="6" t="inlineStr"/>
      <c r="D337" s="6" t="inlineStr">
        <is>
          <t>Volume of Available Product (BBLs)</t>
        </is>
      </c>
      <c r="E337" s="7" t="inlineStr">
        <is>
          <t>N</t>
        </is>
      </c>
      <c r="F337" s="26">
        <f>'Daily Inventory (Live Formulas)'!N129+'Daily Inventory (Live Formulas)'!N130+'Daily Inventory (Live Formulas)'!N131</f>
        <v/>
      </c>
      <c r="G337" s="27" t="inlineStr">
        <is>
          <t>SUM</t>
        </is>
      </c>
      <c r="H337" s="6" t="inlineStr"/>
    </row>
    <row r="338" ht="22" customHeight="1">
      <c r="A338" s="34" t="inlineStr"/>
      <c r="B338" s="4" t="inlineStr"/>
      <c r="C338" s="6" t="inlineStr"/>
      <c r="D338" s="6" t="inlineStr">
        <is>
          <t>Remaining Capacity (BBLs)</t>
        </is>
      </c>
      <c r="E338" s="7" t="inlineStr">
        <is>
          <t>O</t>
        </is>
      </c>
      <c r="F338" s="26">
        <f>'Daily Inventory (Live Formulas)'!O129+'Daily Inventory (Live Formulas)'!O130+'Daily Inventory (Live Formulas)'!O131</f>
        <v/>
      </c>
      <c r="G338" s="27" t="inlineStr">
        <is>
          <t>SUM</t>
        </is>
      </c>
      <c r="H338" s="6" t="inlineStr"/>
    </row>
    <row r="339" ht="22" customHeight="1">
      <c r="A339" s="34" t="inlineStr"/>
      <c r="B339" s="4" t="inlineStr"/>
      <c r="C339" s="6" t="inlineStr"/>
      <c r="D339" s="6" t="inlineStr">
        <is>
          <t>Inventory Change Net Vol (BBLs)</t>
        </is>
      </c>
      <c r="E339" s="7" t="inlineStr">
        <is>
          <t>P</t>
        </is>
      </c>
      <c r="F339" s="26">
        <f>'Daily Inventory (Live Formulas)'!P129+'Daily Inventory (Live Formulas)'!P130+'Daily Inventory (Live Formulas)'!P131</f>
        <v/>
      </c>
      <c r="G339" s="27" t="inlineStr">
        <is>
          <t>SUM</t>
        </is>
      </c>
      <c r="H339" s="6" t="inlineStr"/>
    </row>
    <row r="340" ht="22" customHeight="1">
      <c r="A340" s="23" t="n">
        <v>29</v>
      </c>
      <c r="B340" s="24" t="inlineStr">
        <is>
          <t>Acc_MoltenSulfur</t>
        </is>
      </c>
      <c r="C340" s="25" t="inlineStr">
        <is>
          <t>Molten Sulfur</t>
        </is>
      </c>
      <c r="D340" s="25" t="inlineStr">
        <is>
          <t>Opening Net Volume (BBLs)</t>
        </is>
      </c>
      <c r="E340" s="23" t="inlineStr">
        <is>
          <t>E</t>
        </is>
      </c>
      <c r="F340" s="26">
        <f>'Daily Inventory (Live Formulas)'!E134</f>
        <v/>
      </c>
      <c r="G340" s="27" t="inlineStr">
        <is>
          <t>SUM</t>
        </is>
      </c>
      <c r="H340" s="25" t="inlineStr">
        <is>
          <t>TK619</t>
        </is>
      </c>
    </row>
    <row r="341" ht="22" customHeight="1">
      <c r="A341" s="28" t="inlineStr"/>
      <c r="B341" s="29" t="inlineStr"/>
      <c r="C341" s="25" t="inlineStr"/>
      <c r="D341" s="25" t="inlineStr">
        <is>
          <t>Opening Gravity</t>
        </is>
      </c>
      <c r="E341" s="23" t="inlineStr">
        <is>
          <t>F</t>
        </is>
      </c>
      <c r="F341" s="30">
        <f>AVERAGE('Daily Inventory (Live Formulas)'!F134)</f>
        <v/>
      </c>
      <c r="G341" s="31" t="inlineStr">
        <is>
          <t>AVERAGE</t>
        </is>
      </c>
      <c r="H341" s="25" t="inlineStr"/>
    </row>
    <row r="342" ht="22" customHeight="1">
      <c r="A342" s="28" t="inlineStr"/>
      <c r="B342" s="29" t="inlineStr"/>
      <c r="C342" s="25" t="inlineStr"/>
      <c r="D342" s="25" t="inlineStr">
        <is>
          <t>Closing Net Volume (BBLs)</t>
        </is>
      </c>
      <c r="E342" s="23" t="inlineStr">
        <is>
          <t>G</t>
        </is>
      </c>
      <c r="F342" s="26">
        <f>'Daily Inventory (Live Formulas)'!G134</f>
        <v/>
      </c>
      <c r="G342" s="27" t="inlineStr">
        <is>
          <t>SUM</t>
        </is>
      </c>
      <c r="H342" s="25" t="inlineStr"/>
    </row>
    <row r="343" ht="22" customHeight="1">
      <c r="A343" s="28" t="inlineStr"/>
      <c r="B343" s="29" t="inlineStr"/>
      <c r="C343" s="25" t="inlineStr"/>
      <c r="D343" s="25" t="inlineStr">
        <is>
          <t>Closing Gross Volume (BBLs)</t>
        </is>
      </c>
      <c r="E343" s="23" t="inlineStr">
        <is>
          <t>H</t>
        </is>
      </c>
      <c r="F343" s="26">
        <f>'Daily Inventory (Live Formulas)'!H134</f>
        <v/>
      </c>
      <c r="G343" s="27" t="inlineStr">
        <is>
          <t>SUM</t>
        </is>
      </c>
      <c r="H343" s="25" t="inlineStr"/>
    </row>
    <row r="344" ht="22" customHeight="1">
      <c r="A344" s="28" t="inlineStr"/>
      <c r="B344" s="29" t="inlineStr"/>
      <c r="C344" s="25" t="inlineStr"/>
      <c r="D344" s="25" t="inlineStr">
        <is>
          <t>Level Feet</t>
        </is>
      </c>
      <c r="E344" s="23" t="inlineStr">
        <is>
          <t>I</t>
        </is>
      </c>
      <c r="F344" s="32">
        <f>"'Daily Inventory (Live Formulas)'!I134 — Raw data, no formula"</f>
        <v/>
      </c>
      <c r="G344" s="33" t="inlineStr">
        <is>
          <t>Raw Data</t>
        </is>
      </c>
      <c r="H344" s="25" t="inlineStr"/>
    </row>
    <row r="345" ht="22" customHeight="1">
      <c r="A345" s="28" t="inlineStr"/>
      <c r="B345" s="29" t="inlineStr"/>
      <c r="C345" s="25" t="inlineStr"/>
      <c r="D345" s="25" t="inlineStr">
        <is>
          <t>Gravity (Closing)</t>
        </is>
      </c>
      <c r="E345" s="23" t="inlineStr">
        <is>
          <t>J</t>
        </is>
      </c>
      <c r="F345" s="30">
        <f>AVERAGE('Daily Inventory (Live Formulas)'!J134)</f>
        <v/>
      </c>
      <c r="G345" s="31" t="inlineStr">
        <is>
          <t>AVERAGE</t>
        </is>
      </c>
      <c r="H345" s="25" t="inlineStr"/>
    </row>
    <row r="346" ht="22" customHeight="1">
      <c r="A346" s="28" t="inlineStr"/>
      <c r="B346" s="29" t="inlineStr"/>
      <c r="C346" s="25" t="inlineStr"/>
      <c r="D346" s="25" t="inlineStr">
        <is>
          <t>Temperature</t>
        </is>
      </c>
      <c r="E346" s="23" t="inlineStr">
        <is>
          <t>K</t>
        </is>
      </c>
      <c r="F346" s="32">
        <f>"'Daily Inventory (Live Formulas)'!K134 — Raw data, no formula"</f>
        <v/>
      </c>
      <c r="G346" s="33" t="inlineStr">
        <is>
          <t>Raw Data</t>
        </is>
      </c>
      <c r="H346" s="25" t="inlineStr"/>
    </row>
    <row r="347" ht="22" customHeight="1">
      <c r="A347" s="28" t="inlineStr"/>
      <c r="B347" s="29" t="inlineStr"/>
      <c r="C347" s="25" t="inlineStr"/>
      <c r="D347" s="25" t="inlineStr">
        <is>
          <t>Total Water (BBLs)</t>
        </is>
      </c>
      <c r="E347" s="23" t="inlineStr">
        <is>
          <t>L</t>
        </is>
      </c>
      <c r="F347" s="26">
        <f>'Daily Inventory (Live Formulas)'!L134</f>
        <v/>
      </c>
      <c r="G347" s="27" t="inlineStr">
        <is>
          <t>SUM</t>
        </is>
      </c>
      <c r="H347" s="25" t="inlineStr"/>
    </row>
    <row r="348" ht="22" customHeight="1">
      <c r="A348" s="28" t="inlineStr"/>
      <c r="B348" s="29" t="inlineStr"/>
      <c r="C348" s="25" t="inlineStr"/>
      <c r="D348" s="25" t="inlineStr">
        <is>
          <t>BSW Feet</t>
        </is>
      </c>
      <c r="E348" s="23" t="inlineStr">
        <is>
          <t>M</t>
        </is>
      </c>
      <c r="F348" s="32">
        <f>"'Daily Inventory (Live Formulas)'!M134 — Raw data, no formula"</f>
        <v/>
      </c>
      <c r="G348" s="33" t="inlineStr">
        <is>
          <t>Raw Data</t>
        </is>
      </c>
      <c r="H348" s="25" t="inlineStr"/>
    </row>
    <row r="349" ht="22" customHeight="1">
      <c r="A349" s="28" t="inlineStr"/>
      <c r="B349" s="29" t="inlineStr"/>
      <c r="C349" s="25" t="inlineStr"/>
      <c r="D349" s="25" t="inlineStr">
        <is>
          <t>Volume of Available Product (BBLs)</t>
        </is>
      </c>
      <c r="E349" s="23" t="inlineStr">
        <is>
          <t>N</t>
        </is>
      </c>
      <c r="F349" s="26">
        <f>'Daily Inventory (Live Formulas)'!N134</f>
        <v/>
      </c>
      <c r="G349" s="27" t="inlineStr">
        <is>
          <t>SUM</t>
        </is>
      </c>
      <c r="H349" s="25" t="inlineStr"/>
    </row>
    <row r="350" ht="22" customHeight="1">
      <c r="A350" s="28" t="inlineStr"/>
      <c r="B350" s="29" t="inlineStr"/>
      <c r="C350" s="25" t="inlineStr"/>
      <c r="D350" s="25" t="inlineStr">
        <is>
          <t>Remaining Capacity (BBLs)</t>
        </is>
      </c>
      <c r="E350" s="23" t="inlineStr">
        <is>
          <t>O</t>
        </is>
      </c>
      <c r="F350" s="26">
        <f>'Daily Inventory (Live Formulas)'!O134</f>
        <v/>
      </c>
      <c r="G350" s="27" t="inlineStr">
        <is>
          <t>SUM</t>
        </is>
      </c>
      <c r="H350" s="25" t="inlineStr"/>
    </row>
    <row r="351" ht="22" customHeight="1">
      <c r="A351" s="28" t="inlineStr"/>
      <c r="B351" s="29" t="inlineStr"/>
      <c r="C351" s="25" t="inlineStr"/>
      <c r="D351" s="25" t="inlineStr">
        <is>
          <t>Inventory Change Net Vol (BBLs)</t>
        </is>
      </c>
      <c r="E351" s="23" t="inlineStr">
        <is>
          <t>P</t>
        </is>
      </c>
      <c r="F351" s="26">
        <f>'Daily Inventory (Live Formulas)'!P134</f>
        <v/>
      </c>
      <c r="G351" s="27" t="inlineStr">
        <is>
          <t>SUM</t>
        </is>
      </c>
      <c r="H351" s="25" t="inlineStr"/>
    </row>
    <row r="352" ht="22" customHeight="1">
      <c r="A352" s="7" t="n">
        <v>30</v>
      </c>
      <c r="B352" s="5" t="inlineStr">
        <is>
          <t>Acc_NormalButane</t>
        </is>
      </c>
      <c r="C352" s="6" t="inlineStr">
        <is>
          <t>Normal Butane</t>
        </is>
      </c>
      <c r="D352" s="6" t="inlineStr">
        <is>
          <t>Opening Net Volume (BBLs)</t>
        </is>
      </c>
      <c r="E352" s="7" t="inlineStr">
        <is>
          <t>E</t>
        </is>
      </c>
      <c r="F352" s="26">
        <f>'Daily Inventory (Live Formulas)'!E137+'Daily Inventory (Live Formulas)'!E138+'Daily Inventory (Live Formulas)'!E139+'Daily Inventory (Live Formulas)'!E140</f>
        <v/>
      </c>
      <c r="G352" s="27" t="inlineStr">
        <is>
          <t>SUM</t>
        </is>
      </c>
      <c r="H352" s="6" t="inlineStr">
        <is>
          <t>LF_002, TK79, TK86, TK87</t>
        </is>
      </c>
    </row>
    <row r="353" ht="22" customHeight="1">
      <c r="A353" s="34" t="inlineStr"/>
      <c r="B353" s="4" t="inlineStr"/>
      <c r="C353" s="6" t="inlineStr"/>
      <c r="D353" s="6" t="inlineStr">
        <is>
          <t>Opening Gravity</t>
        </is>
      </c>
      <c r="E353" s="7" t="inlineStr">
        <is>
          <t>F</t>
        </is>
      </c>
      <c r="F353" s="30">
        <f>AVERAGE('Daily Inventory (Live Formulas)'!F137,'Daily Inventory (Live Formulas)'!F138,'Daily Inventory (Live Formulas)'!F139,'Daily Inventory (Live Formulas)'!F140)</f>
        <v/>
      </c>
      <c r="G353" s="31" t="inlineStr">
        <is>
          <t>AVERAGE</t>
        </is>
      </c>
      <c r="H353" s="6" t="inlineStr"/>
    </row>
    <row r="354" ht="22" customHeight="1">
      <c r="A354" s="34" t="inlineStr"/>
      <c r="B354" s="4" t="inlineStr"/>
      <c r="C354" s="6" t="inlineStr"/>
      <c r="D354" s="6" t="inlineStr">
        <is>
          <t>Closing Net Volume (BBLs)</t>
        </is>
      </c>
      <c r="E354" s="7" t="inlineStr">
        <is>
          <t>G</t>
        </is>
      </c>
      <c r="F354" s="26">
        <f>'Daily Inventory (Live Formulas)'!G137+'Daily Inventory (Live Formulas)'!G138+'Daily Inventory (Live Formulas)'!G139+'Daily Inventory (Live Formulas)'!G140</f>
        <v/>
      </c>
      <c r="G354" s="27" t="inlineStr">
        <is>
          <t>SUM</t>
        </is>
      </c>
      <c r="H354" s="6" t="inlineStr"/>
    </row>
    <row r="355" ht="22" customHeight="1">
      <c r="A355" s="34" t="inlineStr"/>
      <c r="B355" s="4" t="inlineStr"/>
      <c r="C355" s="6" t="inlineStr"/>
      <c r="D355" s="6" t="inlineStr">
        <is>
          <t>Closing Gross Volume (BBLs)</t>
        </is>
      </c>
      <c r="E355" s="7" t="inlineStr">
        <is>
          <t>H</t>
        </is>
      </c>
      <c r="F355" s="26">
        <f>'Daily Inventory (Live Formulas)'!H137+'Daily Inventory (Live Formulas)'!H138+'Daily Inventory (Live Formulas)'!H139+'Daily Inventory (Live Formulas)'!H140</f>
        <v/>
      </c>
      <c r="G355" s="27" t="inlineStr">
        <is>
          <t>SUM</t>
        </is>
      </c>
      <c r="H355" s="6" t="inlineStr"/>
    </row>
    <row r="356" ht="22" customHeight="1">
      <c r="A356" s="34" t="inlineStr"/>
      <c r="B356" s="4" t="inlineStr"/>
      <c r="C356" s="6" t="inlineStr"/>
      <c r="D356" s="6" t="inlineStr">
        <is>
          <t>Level Feet</t>
        </is>
      </c>
      <c r="E356" s="7" t="inlineStr">
        <is>
          <t>I</t>
        </is>
      </c>
      <c r="F356" s="32">
        <f>"'Daily Inventory (Live Formulas)'!I137 — Raw data, no formula"</f>
        <v/>
      </c>
      <c r="G356" s="33" t="inlineStr">
        <is>
          <t>Raw Data</t>
        </is>
      </c>
      <c r="H356" s="6" t="inlineStr"/>
    </row>
    <row r="357" ht="22" customHeight="1">
      <c r="A357" s="34" t="inlineStr"/>
      <c r="B357" s="4" t="inlineStr"/>
      <c r="C357" s="6" t="inlineStr"/>
      <c r="D357" s="6" t="inlineStr">
        <is>
          <t>Gravity (Closing)</t>
        </is>
      </c>
      <c r="E357" s="7" t="inlineStr">
        <is>
          <t>J</t>
        </is>
      </c>
      <c r="F357" s="30">
        <f>AVERAGE('Daily Inventory (Live Formulas)'!J137,'Daily Inventory (Live Formulas)'!J138,'Daily Inventory (Live Formulas)'!J139,'Daily Inventory (Live Formulas)'!J140)</f>
        <v/>
      </c>
      <c r="G357" s="31" t="inlineStr">
        <is>
          <t>AVERAGE</t>
        </is>
      </c>
      <c r="H357" s="6" t="inlineStr"/>
    </row>
    <row r="358" ht="22" customHeight="1">
      <c r="A358" s="34" t="inlineStr"/>
      <c r="B358" s="4" t="inlineStr"/>
      <c r="C358" s="6" t="inlineStr"/>
      <c r="D358" s="6" t="inlineStr">
        <is>
          <t>Temperature</t>
        </is>
      </c>
      <c r="E358" s="7" t="inlineStr">
        <is>
          <t>K</t>
        </is>
      </c>
      <c r="F358" s="32">
        <f>"'Daily Inventory (Live Formulas)'!K137 — Raw data, no formula"</f>
        <v/>
      </c>
      <c r="G358" s="33" t="inlineStr">
        <is>
          <t>Raw Data</t>
        </is>
      </c>
      <c r="H358" s="6" t="inlineStr"/>
    </row>
    <row r="359" ht="22" customHeight="1">
      <c r="A359" s="34" t="inlineStr"/>
      <c r="B359" s="4" t="inlineStr"/>
      <c r="C359" s="6" t="inlineStr"/>
      <c r="D359" s="6" t="inlineStr">
        <is>
          <t>Total Water (BBLs)</t>
        </is>
      </c>
      <c r="E359" s="7" t="inlineStr">
        <is>
          <t>L</t>
        </is>
      </c>
      <c r="F359" s="26">
        <f>'Daily Inventory (Live Formulas)'!L137+'Daily Inventory (Live Formulas)'!L138+'Daily Inventory (Live Formulas)'!L139+'Daily Inventory (Live Formulas)'!L140</f>
        <v/>
      </c>
      <c r="G359" s="27" t="inlineStr">
        <is>
          <t>SUM</t>
        </is>
      </c>
      <c r="H359" s="6" t="inlineStr"/>
    </row>
    <row r="360" ht="22" customHeight="1">
      <c r="A360" s="34" t="inlineStr"/>
      <c r="B360" s="4" t="inlineStr"/>
      <c r="C360" s="6" t="inlineStr"/>
      <c r="D360" s="6" t="inlineStr">
        <is>
          <t>BSW Feet</t>
        </is>
      </c>
      <c r="E360" s="7" t="inlineStr">
        <is>
          <t>M</t>
        </is>
      </c>
      <c r="F360" s="32">
        <f>"'Daily Inventory (Live Formulas)'!M137 — Raw data, no formula"</f>
        <v/>
      </c>
      <c r="G360" s="33" t="inlineStr">
        <is>
          <t>Raw Data</t>
        </is>
      </c>
      <c r="H360" s="6" t="inlineStr"/>
    </row>
    <row r="361" ht="22" customHeight="1">
      <c r="A361" s="34" t="inlineStr"/>
      <c r="B361" s="4" t="inlineStr"/>
      <c r="C361" s="6" t="inlineStr"/>
      <c r="D361" s="6" t="inlineStr">
        <is>
          <t>Volume of Available Product (BBLs)</t>
        </is>
      </c>
      <c r="E361" s="7" t="inlineStr">
        <is>
          <t>N</t>
        </is>
      </c>
      <c r="F361" s="26">
        <f>'Daily Inventory (Live Formulas)'!N137+'Daily Inventory (Live Formulas)'!N138+'Daily Inventory (Live Formulas)'!N139+'Daily Inventory (Live Formulas)'!N140</f>
        <v/>
      </c>
      <c r="G361" s="27" t="inlineStr">
        <is>
          <t>SUM</t>
        </is>
      </c>
      <c r="H361" s="6" t="inlineStr"/>
    </row>
    <row r="362" ht="22" customHeight="1">
      <c r="A362" s="34" t="inlineStr"/>
      <c r="B362" s="4" t="inlineStr"/>
      <c r="C362" s="6" t="inlineStr"/>
      <c r="D362" s="6" t="inlineStr">
        <is>
          <t>Remaining Capacity (BBLs)</t>
        </is>
      </c>
      <c r="E362" s="7" t="inlineStr">
        <is>
          <t>O</t>
        </is>
      </c>
      <c r="F362" s="26">
        <f>'Daily Inventory (Live Formulas)'!O137+'Daily Inventory (Live Formulas)'!O138+'Daily Inventory (Live Formulas)'!O139+'Daily Inventory (Live Formulas)'!O140</f>
        <v/>
      </c>
      <c r="G362" s="27" t="inlineStr">
        <is>
          <t>SUM</t>
        </is>
      </c>
      <c r="H362" s="6" t="inlineStr"/>
    </row>
    <row r="363" ht="22" customHeight="1">
      <c r="A363" s="34" t="inlineStr"/>
      <c r="B363" s="4" t="inlineStr"/>
      <c r="C363" s="6" t="inlineStr"/>
      <c r="D363" s="6" t="inlineStr">
        <is>
          <t>Inventory Change Net Vol (BBLs)</t>
        </is>
      </c>
      <c r="E363" s="7" t="inlineStr">
        <is>
          <t>P</t>
        </is>
      </c>
      <c r="F363" s="26">
        <f>'Daily Inventory (Live Formulas)'!P137+'Daily Inventory (Live Formulas)'!P138+'Daily Inventory (Live Formulas)'!P139+'Daily Inventory (Live Formulas)'!P140</f>
        <v/>
      </c>
      <c r="G363" s="27" t="inlineStr">
        <is>
          <t>SUM</t>
        </is>
      </c>
      <c r="H363" s="6" t="inlineStr"/>
    </row>
    <row r="364" ht="22" customHeight="1">
      <c r="A364" s="23" t="n">
        <v>31</v>
      </c>
      <c r="B364" s="24" t="inlineStr">
        <is>
          <t>Acc_OOS</t>
        </is>
      </c>
      <c r="C364" s="25" t="inlineStr">
        <is>
          <t>Out of Service</t>
        </is>
      </c>
      <c r="D364" s="25" t="inlineStr">
        <is>
          <t>Opening Net Volume (BBLs)</t>
        </is>
      </c>
      <c r="E364" s="23" t="inlineStr">
        <is>
          <t>E</t>
        </is>
      </c>
      <c r="F364" s="26">
        <f>'Daily Inventory (Live Formulas)'!E143+'Daily Inventory (Live Formulas)'!E144+'Daily Inventory (Live Formulas)'!E145+'Daily Inventory (Live Formulas)'!E146+'Daily Inventory (Live Formulas)'!E147+'Daily Inventory (Live Formulas)'!E148+'Daily Inventory (Live Formulas)'!E149+'Daily Inventory (Live Formulas)'!E150+'Daily Inventory (Live Formulas)'!E151</f>
        <v/>
      </c>
      <c r="G364" s="27" t="inlineStr">
        <is>
          <t>SUM</t>
        </is>
      </c>
      <c r="H364" s="25" t="inlineStr">
        <is>
          <t>TK155, TK157, TK187, TK289, TK355, TK42, TK620, TK776, TK905</t>
        </is>
      </c>
    </row>
    <row r="365" ht="22" customHeight="1">
      <c r="A365" s="28" t="inlineStr"/>
      <c r="B365" s="29" t="inlineStr"/>
      <c r="C365" s="25" t="inlineStr"/>
      <c r="D365" s="25" t="inlineStr">
        <is>
          <t>Opening Gravity</t>
        </is>
      </c>
      <c r="E365" s="23" t="inlineStr">
        <is>
          <t>F</t>
        </is>
      </c>
      <c r="F365" s="30">
        <f>AVERAGE('Daily Inventory (Live Formulas)'!F143,'Daily Inventory (Live Formulas)'!F144,'Daily Inventory (Live Formulas)'!F145,'Daily Inventory (Live Formulas)'!F146,'Daily Inventory (Live Formulas)'!F147,'Daily Inventory (Live Formulas)'!F148,'Daily Inventory (Live Formulas)'!F149,'Daily Inventory (Live Formulas)'!F150,'Daily Inventory (Live Formulas)'!F151)</f>
        <v/>
      </c>
      <c r="G365" s="31" t="inlineStr">
        <is>
          <t>AVERAGE</t>
        </is>
      </c>
      <c r="H365" s="25" t="inlineStr"/>
    </row>
    <row r="366" ht="22" customHeight="1">
      <c r="A366" s="28" t="inlineStr"/>
      <c r="B366" s="29" t="inlineStr"/>
      <c r="C366" s="25" t="inlineStr"/>
      <c r="D366" s="25" t="inlineStr">
        <is>
          <t>Closing Net Volume (BBLs)</t>
        </is>
      </c>
      <c r="E366" s="23" t="inlineStr">
        <is>
          <t>G</t>
        </is>
      </c>
      <c r="F366" s="26">
        <f>'Daily Inventory (Live Formulas)'!G143+'Daily Inventory (Live Formulas)'!G144+'Daily Inventory (Live Formulas)'!G145+'Daily Inventory (Live Formulas)'!G146+'Daily Inventory (Live Formulas)'!G147+'Daily Inventory (Live Formulas)'!G148+'Daily Inventory (Live Formulas)'!G149+'Daily Inventory (Live Formulas)'!G150+'Daily Inventory (Live Formulas)'!G151</f>
        <v/>
      </c>
      <c r="G366" s="27" t="inlineStr">
        <is>
          <t>SUM</t>
        </is>
      </c>
      <c r="H366" s="25" t="inlineStr"/>
    </row>
    <row r="367" ht="22" customHeight="1">
      <c r="A367" s="28" t="inlineStr"/>
      <c r="B367" s="29" t="inlineStr"/>
      <c r="C367" s="25" t="inlineStr"/>
      <c r="D367" s="25" t="inlineStr">
        <is>
          <t>Closing Gross Volume (BBLs)</t>
        </is>
      </c>
      <c r="E367" s="23" t="inlineStr">
        <is>
          <t>H</t>
        </is>
      </c>
      <c r="F367" s="26">
        <f>'Daily Inventory (Live Formulas)'!H143+'Daily Inventory (Live Formulas)'!H144+'Daily Inventory (Live Formulas)'!H145+'Daily Inventory (Live Formulas)'!H146+'Daily Inventory (Live Formulas)'!H147+'Daily Inventory (Live Formulas)'!H148+'Daily Inventory (Live Formulas)'!H149+'Daily Inventory (Live Formulas)'!H150+'Daily Inventory (Live Formulas)'!H151</f>
        <v/>
      </c>
      <c r="G367" s="27" t="inlineStr">
        <is>
          <t>SUM</t>
        </is>
      </c>
      <c r="H367" s="25" t="inlineStr"/>
    </row>
    <row r="368" ht="22" customHeight="1">
      <c r="A368" s="28" t="inlineStr"/>
      <c r="B368" s="29" t="inlineStr"/>
      <c r="C368" s="25" t="inlineStr"/>
      <c r="D368" s="25" t="inlineStr">
        <is>
          <t>Level Feet</t>
        </is>
      </c>
      <c r="E368" s="23" t="inlineStr">
        <is>
          <t>I</t>
        </is>
      </c>
      <c r="F368" s="32">
        <f>"'Daily Inventory (Live Formulas)'!I143 — Raw data, no formula"</f>
        <v/>
      </c>
      <c r="G368" s="33" t="inlineStr">
        <is>
          <t>Raw Data</t>
        </is>
      </c>
      <c r="H368" s="25" t="inlineStr"/>
    </row>
    <row r="369" ht="22" customHeight="1">
      <c r="A369" s="28" t="inlineStr"/>
      <c r="B369" s="29" t="inlineStr"/>
      <c r="C369" s="25" t="inlineStr"/>
      <c r="D369" s="25" t="inlineStr">
        <is>
          <t>Gravity (Closing)</t>
        </is>
      </c>
      <c r="E369" s="23" t="inlineStr">
        <is>
          <t>J</t>
        </is>
      </c>
      <c r="F369" s="30">
        <f>AVERAGE('Daily Inventory (Live Formulas)'!J143,'Daily Inventory (Live Formulas)'!J144,'Daily Inventory (Live Formulas)'!J145,'Daily Inventory (Live Formulas)'!J146,'Daily Inventory (Live Formulas)'!J147,'Daily Inventory (Live Formulas)'!J148,'Daily Inventory (Live Formulas)'!J149,'Daily Inventory (Live Formulas)'!J150,'Daily Inventory (Live Formulas)'!J151)</f>
        <v/>
      </c>
      <c r="G369" s="31" t="inlineStr">
        <is>
          <t>AVERAGE</t>
        </is>
      </c>
      <c r="H369" s="25" t="inlineStr"/>
    </row>
    <row r="370" ht="22" customHeight="1">
      <c r="A370" s="28" t="inlineStr"/>
      <c r="B370" s="29" t="inlineStr"/>
      <c r="C370" s="25" t="inlineStr"/>
      <c r="D370" s="25" t="inlineStr">
        <is>
          <t>Temperature</t>
        </is>
      </c>
      <c r="E370" s="23" t="inlineStr">
        <is>
          <t>K</t>
        </is>
      </c>
      <c r="F370" s="32">
        <f>"'Daily Inventory (Live Formulas)'!K143 — Raw data, no formula"</f>
        <v/>
      </c>
      <c r="G370" s="33" t="inlineStr">
        <is>
          <t>Raw Data</t>
        </is>
      </c>
      <c r="H370" s="25" t="inlineStr"/>
    </row>
    <row r="371" ht="22" customHeight="1">
      <c r="A371" s="28" t="inlineStr"/>
      <c r="B371" s="29" t="inlineStr"/>
      <c r="C371" s="25" t="inlineStr"/>
      <c r="D371" s="25" t="inlineStr">
        <is>
          <t>Total Water (BBLs)</t>
        </is>
      </c>
      <c r="E371" s="23" t="inlineStr">
        <is>
          <t>L</t>
        </is>
      </c>
      <c r="F371" s="26">
        <f>'Daily Inventory (Live Formulas)'!L143+'Daily Inventory (Live Formulas)'!L144+'Daily Inventory (Live Formulas)'!L145+'Daily Inventory (Live Formulas)'!L146+'Daily Inventory (Live Formulas)'!L147+'Daily Inventory (Live Formulas)'!L148+'Daily Inventory (Live Formulas)'!L149+'Daily Inventory (Live Formulas)'!L150+'Daily Inventory (Live Formulas)'!L151</f>
        <v/>
      </c>
      <c r="G371" s="27" t="inlineStr">
        <is>
          <t>SUM</t>
        </is>
      </c>
      <c r="H371" s="25" t="inlineStr"/>
    </row>
    <row r="372" ht="22" customHeight="1">
      <c r="A372" s="28" t="inlineStr"/>
      <c r="B372" s="29" t="inlineStr"/>
      <c r="C372" s="25" t="inlineStr"/>
      <c r="D372" s="25" t="inlineStr">
        <is>
          <t>BSW Feet</t>
        </is>
      </c>
      <c r="E372" s="23" t="inlineStr">
        <is>
          <t>M</t>
        </is>
      </c>
      <c r="F372" s="32">
        <f>"'Daily Inventory (Live Formulas)'!M143 — Raw data, no formula"</f>
        <v/>
      </c>
      <c r="G372" s="33" t="inlineStr">
        <is>
          <t>Raw Data</t>
        </is>
      </c>
      <c r="H372" s="25" t="inlineStr"/>
    </row>
    <row r="373" ht="22" customHeight="1">
      <c r="A373" s="28" t="inlineStr"/>
      <c r="B373" s="29" t="inlineStr"/>
      <c r="C373" s="25" t="inlineStr"/>
      <c r="D373" s="25" t="inlineStr">
        <is>
          <t>Volume of Available Product (BBLs)</t>
        </is>
      </c>
      <c r="E373" s="23" t="inlineStr">
        <is>
          <t>N</t>
        </is>
      </c>
      <c r="F373" s="26">
        <f>'Daily Inventory (Live Formulas)'!N143+'Daily Inventory (Live Formulas)'!N144+'Daily Inventory (Live Formulas)'!N145+'Daily Inventory (Live Formulas)'!N146+'Daily Inventory (Live Formulas)'!N147+'Daily Inventory (Live Formulas)'!N148+'Daily Inventory (Live Formulas)'!N149+'Daily Inventory (Live Formulas)'!N150+'Daily Inventory (Live Formulas)'!N151</f>
        <v/>
      </c>
      <c r="G373" s="27" t="inlineStr">
        <is>
          <t>SUM</t>
        </is>
      </c>
      <c r="H373" s="25" t="inlineStr"/>
    </row>
    <row r="374" ht="22" customHeight="1">
      <c r="A374" s="28" t="inlineStr"/>
      <c r="B374" s="29" t="inlineStr"/>
      <c r="C374" s="25" t="inlineStr"/>
      <c r="D374" s="25" t="inlineStr">
        <is>
          <t>Remaining Capacity (BBLs)</t>
        </is>
      </c>
      <c r="E374" s="23" t="inlineStr">
        <is>
          <t>O</t>
        </is>
      </c>
      <c r="F374" s="26">
        <f>'Daily Inventory (Live Formulas)'!O143+'Daily Inventory (Live Formulas)'!O144+'Daily Inventory (Live Formulas)'!O145+'Daily Inventory (Live Formulas)'!O146+'Daily Inventory (Live Formulas)'!O147+'Daily Inventory (Live Formulas)'!O148+'Daily Inventory (Live Formulas)'!O149+'Daily Inventory (Live Formulas)'!O150+'Daily Inventory (Live Formulas)'!O151</f>
        <v/>
      </c>
      <c r="G374" s="27" t="inlineStr">
        <is>
          <t>SUM</t>
        </is>
      </c>
      <c r="H374" s="25" t="inlineStr"/>
    </row>
    <row r="375" ht="22" customHeight="1">
      <c r="A375" s="28" t="inlineStr"/>
      <c r="B375" s="29" t="inlineStr"/>
      <c r="C375" s="25" t="inlineStr"/>
      <c r="D375" s="25" t="inlineStr">
        <is>
          <t>Inventory Change Net Vol (BBLs)</t>
        </is>
      </c>
      <c r="E375" s="23" t="inlineStr">
        <is>
          <t>P</t>
        </is>
      </c>
      <c r="F375" s="26">
        <f>'Daily Inventory (Live Formulas)'!P143+'Daily Inventory (Live Formulas)'!P144+'Daily Inventory (Live Formulas)'!P145+'Daily Inventory (Live Formulas)'!P146+'Daily Inventory (Live Formulas)'!P147+'Daily Inventory (Live Formulas)'!P148+'Daily Inventory (Live Formulas)'!P149+'Daily Inventory (Live Formulas)'!P150+'Daily Inventory (Live Formulas)'!P151</f>
        <v/>
      </c>
      <c r="G375" s="27" t="inlineStr">
        <is>
          <t>SUM</t>
        </is>
      </c>
      <c r="H375" s="25" t="inlineStr"/>
    </row>
    <row r="376" ht="22" customHeight="1">
      <c r="A376" s="7" t="n">
        <v>32</v>
      </c>
      <c r="B376" s="5" t="inlineStr">
        <is>
          <t>Acc_PetCoke</t>
        </is>
      </c>
      <c r="C376" s="6" t="inlineStr">
        <is>
          <t>Petroleum Coke</t>
        </is>
      </c>
      <c r="D376" s="6" t="inlineStr">
        <is>
          <t>Opening Net Volume (BBLs)</t>
        </is>
      </c>
      <c r="E376" s="7" t="inlineStr">
        <is>
          <t>E</t>
        </is>
      </c>
      <c r="F376" s="26">
        <f>'Daily Inventory (Live Formulas)'!E154</f>
        <v/>
      </c>
      <c r="G376" s="27" t="inlineStr">
        <is>
          <t>SUM</t>
        </is>
      </c>
      <c r="H376" s="6" t="inlineStr">
        <is>
          <t>TK_Coke</t>
        </is>
      </c>
    </row>
    <row r="377" ht="22" customHeight="1">
      <c r="A377" s="34" t="inlineStr"/>
      <c r="B377" s="4" t="inlineStr"/>
      <c r="C377" s="6" t="inlineStr"/>
      <c r="D377" s="6" t="inlineStr">
        <is>
          <t>Opening Gravity</t>
        </is>
      </c>
      <c r="E377" s="7" t="inlineStr">
        <is>
          <t>F</t>
        </is>
      </c>
      <c r="F377" s="30">
        <f>AVERAGE('Daily Inventory (Live Formulas)'!F154)</f>
        <v/>
      </c>
      <c r="G377" s="31" t="inlineStr">
        <is>
          <t>AVERAGE</t>
        </is>
      </c>
      <c r="H377" s="6" t="inlineStr"/>
    </row>
    <row r="378" ht="22" customHeight="1">
      <c r="A378" s="34" t="inlineStr"/>
      <c r="B378" s="4" t="inlineStr"/>
      <c r="C378" s="6" t="inlineStr"/>
      <c r="D378" s="6" t="inlineStr">
        <is>
          <t>Closing Net Volume (BBLs)</t>
        </is>
      </c>
      <c r="E378" s="7" t="inlineStr">
        <is>
          <t>G</t>
        </is>
      </c>
      <c r="F378" s="26">
        <f>'Daily Inventory (Live Formulas)'!G154</f>
        <v/>
      </c>
      <c r="G378" s="27" t="inlineStr">
        <is>
          <t>SUM</t>
        </is>
      </c>
      <c r="H378" s="6" t="inlineStr"/>
    </row>
    <row r="379" ht="22" customHeight="1">
      <c r="A379" s="34" t="inlineStr"/>
      <c r="B379" s="4" t="inlineStr"/>
      <c r="C379" s="6" t="inlineStr"/>
      <c r="D379" s="6" t="inlineStr">
        <is>
          <t>Closing Gross Volume (BBLs)</t>
        </is>
      </c>
      <c r="E379" s="7" t="inlineStr">
        <is>
          <t>H</t>
        </is>
      </c>
      <c r="F379" s="26">
        <f>'Daily Inventory (Live Formulas)'!H154</f>
        <v/>
      </c>
      <c r="G379" s="27" t="inlineStr">
        <is>
          <t>SUM</t>
        </is>
      </c>
      <c r="H379" s="6" t="inlineStr"/>
    </row>
    <row r="380" ht="22" customHeight="1">
      <c r="A380" s="34" t="inlineStr"/>
      <c r="B380" s="4" t="inlineStr"/>
      <c r="C380" s="6" t="inlineStr"/>
      <c r="D380" s="6" t="inlineStr">
        <is>
          <t>Level Feet</t>
        </is>
      </c>
      <c r="E380" s="7" t="inlineStr">
        <is>
          <t>I</t>
        </is>
      </c>
      <c r="F380" s="32">
        <f>"'Daily Inventory (Live Formulas)'!I154 — Raw data, no formula"</f>
        <v/>
      </c>
      <c r="G380" s="33" t="inlineStr">
        <is>
          <t>Raw Data</t>
        </is>
      </c>
      <c r="H380" s="6" t="inlineStr"/>
    </row>
    <row r="381" ht="22" customHeight="1">
      <c r="A381" s="34" t="inlineStr"/>
      <c r="B381" s="4" t="inlineStr"/>
      <c r="C381" s="6" t="inlineStr"/>
      <c r="D381" s="6" t="inlineStr">
        <is>
          <t>Gravity (Closing)</t>
        </is>
      </c>
      <c r="E381" s="7" t="inlineStr">
        <is>
          <t>J</t>
        </is>
      </c>
      <c r="F381" s="30">
        <f>AVERAGE('Daily Inventory (Live Formulas)'!J154)</f>
        <v/>
      </c>
      <c r="G381" s="31" t="inlineStr">
        <is>
          <t>AVERAGE</t>
        </is>
      </c>
      <c r="H381" s="6" t="inlineStr"/>
    </row>
    <row r="382" ht="22" customHeight="1">
      <c r="A382" s="34" t="inlineStr"/>
      <c r="B382" s="4" t="inlineStr"/>
      <c r="C382" s="6" t="inlineStr"/>
      <c r="D382" s="6" t="inlineStr">
        <is>
          <t>Temperature</t>
        </is>
      </c>
      <c r="E382" s="7" t="inlineStr">
        <is>
          <t>K</t>
        </is>
      </c>
      <c r="F382" s="32">
        <f>"'Daily Inventory (Live Formulas)'!K154 — Raw data, no formula"</f>
        <v/>
      </c>
      <c r="G382" s="33" t="inlineStr">
        <is>
          <t>Raw Data</t>
        </is>
      </c>
      <c r="H382" s="6" t="inlineStr"/>
    </row>
    <row r="383" ht="22" customHeight="1">
      <c r="A383" s="34" t="inlineStr"/>
      <c r="B383" s="4" t="inlineStr"/>
      <c r="C383" s="6" t="inlineStr"/>
      <c r="D383" s="6" t="inlineStr">
        <is>
          <t>Total Water (BBLs)</t>
        </is>
      </c>
      <c r="E383" s="7" t="inlineStr">
        <is>
          <t>L</t>
        </is>
      </c>
      <c r="F383" s="26">
        <f>'Daily Inventory (Live Formulas)'!L154</f>
        <v/>
      </c>
      <c r="G383" s="27" t="inlineStr">
        <is>
          <t>SUM</t>
        </is>
      </c>
      <c r="H383" s="6" t="inlineStr"/>
    </row>
    <row r="384" ht="22" customHeight="1">
      <c r="A384" s="34" t="inlineStr"/>
      <c r="B384" s="4" t="inlineStr"/>
      <c r="C384" s="6" t="inlineStr"/>
      <c r="D384" s="6" t="inlineStr">
        <is>
          <t>BSW Feet</t>
        </is>
      </c>
      <c r="E384" s="7" t="inlineStr">
        <is>
          <t>M</t>
        </is>
      </c>
      <c r="F384" s="32">
        <f>"'Daily Inventory (Live Formulas)'!M154 — Raw data, no formula"</f>
        <v/>
      </c>
      <c r="G384" s="33" t="inlineStr">
        <is>
          <t>Raw Data</t>
        </is>
      </c>
      <c r="H384" s="6" t="inlineStr"/>
    </row>
    <row r="385" ht="22" customHeight="1">
      <c r="A385" s="34" t="inlineStr"/>
      <c r="B385" s="4" t="inlineStr"/>
      <c r="C385" s="6" t="inlineStr"/>
      <c r="D385" s="6" t="inlineStr">
        <is>
          <t>Volume of Available Product (BBLs)</t>
        </is>
      </c>
      <c r="E385" s="7" t="inlineStr">
        <is>
          <t>N</t>
        </is>
      </c>
      <c r="F385" s="26">
        <f>'Daily Inventory (Live Formulas)'!N154</f>
        <v/>
      </c>
      <c r="G385" s="27" t="inlineStr">
        <is>
          <t>SUM</t>
        </is>
      </c>
      <c r="H385" s="6" t="inlineStr"/>
    </row>
    <row r="386" ht="22" customHeight="1">
      <c r="A386" s="34" t="inlineStr"/>
      <c r="B386" s="4" t="inlineStr"/>
      <c r="C386" s="6" t="inlineStr"/>
      <c r="D386" s="6" t="inlineStr">
        <is>
          <t>Remaining Capacity (BBLs)</t>
        </is>
      </c>
      <c r="E386" s="7" t="inlineStr">
        <is>
          <t>O</t>
        </is>
      </c>
      <c r="F386" s="26">
        <f>'Daily Inventory (Live Formulas)'!O154</f>
        <v/>
      </c>
      <c r="G386" s="27" t="inlineStr">
        <is>
          <t>SUM</t>
        </is>
      </c>
      <c r="H386" s="6" t="inlineStr"/>
    </row>
    <row r="387" ht="22" customHeight="1">
      <c r="A387" s="34" t="inlineStr"/>
      <c r="B387" s="4" t="inlineStr"/>
      <c r="C387" s="6" t="inlineStr"/>
      <c r="D387" s="6" t="inlineStr">
        <is>
          <t>Inventory Change Net Vol (BBLs)</t>
        </is>
      </c>
      <c r="E387" s="7" t="inlineStr">
        <is>
          <t>P</t>
        </is>
      </c>
      <c r="F387" s="26">
        <f>'Daily Inventory (Live Formulas)'!P154</f>
        <v/>
      </c>
      <c r="G387" s="27" t="inlineStr">
        <is>
          <t>SUM</t>
        </is>
      </c>
      <c r="H387" s="6" t="inlineStr"/>
    </row>
    <row r="388" ht="22" customHeight="1">
      <c r="A388" s="23" t="n">
        <v>33</v>
      </c>
      <c r="B388" s="24" t="inlineStr">
        <is>
          <t>Acc_Reformate</t>
        </is>
      </c>
      <c r="C388" s="25" t="inlineStr">
        <is>
          <t>Reformate</t>
        </is>
      </c>
      <c r="D388" s="25" t="inlineStr">
        <is>
          <t>Opening Net Volume (BBLs)</t>
        </is>
      </c>
      <c r="E388" s="23" t="inlineStr">
        <is>
          <t>E</t>
        </is>
      </c>
      <c r="F388" s="26">
        <f>'Daily Inventory (Live Formulas)'!E157+'Daily Inventory (Live Formulas)'!E158</f>
        <v/>
      </c>
      <c r="G388" s="27" t="inlineStr">
        <is>
          <t>SUM</t>
        </is>
      </c>
      <c r="H388" s="25" t="inlineStr">
        <is>
          <t>TK62, TK63</t>
        </is>
      </c>
    </row>
    <row r="389" ht="22" customHeight="1">
      <c r="A389" s="28" t="inlineStr"/>
      <c r="B389" s="29" t="inlineStr"/>
      <c r="C389" s="25" t="inlineStr"/>
      <c r="D389" s="25" t="inlineStr">
        <is>
          <t>Opening Gravity</t>
        </is>
      </c>
      <c r="E389" s="23" t="inlineStr">
        <is>
          <t>F</t>
        </is>
      </c>
      <c r="F389" s="30">
        <f>AVERAGE('Daily Inventory (Live Formulas)'!F157,'Daily Inventory (Live Formulas)'!F158)</f>
        <v/>
      </c>
      <c r="G389" s="31" t="inlineStr">
        <is>
          <t>AVERAGE</t>
        </is>
      </c>
      <c r="H389" s="25" t="inlineStr"/>
    </row>
    <row r="390" ht="22" customHeight="1">
      <c r="A390" s="28" t="inlineStr"/>
      <c r="B390" s="29" t="inlineStr"/>
      <c r="C390" s="25" t="inlineStr"/>
      <c r="D390" s="25" t="inlineStr">
        <is>
          <t>Closing Net Volume (BBLs)</t>
        </is>
      </c>
      <c r="E390" s="23" t="inlineStr">
        <is>
          <t>G</t>
        </is>
      </c>
      <c r="F390" s="26">
        <f>'Daily Inventory (Live Formulas)'!G157+'Daily Inventory (Live Formulas)'!G158</f>
        <v/>
      </c>
      <c r="G390" s="27" t="inlineStr">
        <is>
          <t>SUM</t>
        </is>
      </c>
      <c r="H390" s="25" t="inlineStr"/>
    </row>
    <row r="391" ht="22" customHeight="1">
      <c r="A391" s="28" t="inlineStr"/>
      <c r="B391" s="29" t="inlineStr"/>
      <c r="C391" s="25" t="inlineStr"/>
      <c r="D391" s="25" t="inlineStr">
        <is>
          <t>Closing Gross Volume (BBLs)</t>
        </is>
      </c>
      <c r="E391" s="23" t="inlineStr">
        <is>
          <t>H</t>
        </is>
      </c>
      <c r="F391" s="26">
        <f>'Daily Inventory (Live Formulas)'!H157+'Daily Inventory (Live Formulas)'!H158</f>
        <v/>
      </c>
      <c r="G391" s="27" t="inlineStr">
        <is>
          <t>SUM</t>
        </is>
      </c>
      <c r="H391" s="25" t="inlineStr"/>
    </row>
    <row r="392" ht="22" customHeight="1">
      <c r="A392" s="28" t="inlineStr"/>
      <c r="B392" s="29" t="inlineStr"/>
      <c r="C392" s="25" t="inlineStr"/>
      <c r="D392" s="25" t="inlineStr">
        <is>
          <t>Level Feet</t>
        </is>
      </c>
      <c r="E392" s="23" t="inlineStr">
        <is>
          <t>I</t>
        </is>
      </c>
      <c r="F392" s="32">
        <f>"'Daily Inventory (Live Formulas)'!I157 — Raw data, no formula"</f>
        <v/>
      </c>
      <c r="G392" s="33" t="inlineStr">
        <is>
          <t>Raw Data</t>
        </is>
      </c>
      <c r="H392" s="25" t="inlineStr"/>
    </row>
    <row r="393" ht="22" customHeight="1">
      <c r="A393" s="28" t="inlineStr"/>
      <c r="B393" s="29" t="inlineStr"/>
      <c r="C393" s="25" t="inlineStr"/>
      <c r="D393" s="25" t="inlineStr">
        <is>
          <t>Gravity (Closing)</t>
        </is>
      </c>
      <c r="E393" s="23" t="inlineStr">
        <is>
          <t>J</t>
        </is>
      </c>
      <c r="F393" s="30">
        <f>AVERAGE('Daily Inventory (Live Formulas)'!J157,'Daily Inventory (Live Formulas)'!J158)</f>
        <v/>
      </c>
      <c r="G393" s="31" t="inlineStr">
        <is>
          <t>AVERAGE</t>
        </is>
      </c>
      <c r="H393" s="25" t="inlineStr"/>
    </row>
    <row r="394" ht="22" customHeight="1">
      <c r="A394" s="28" t="inlineStr"/>
      <c r="B394" s="29" t="inlineStr"/>
      <c r="C394" s="25" t="inlineStr"/>
      <c r="D394" s="25" t="inlineStr">
        <is>
          <t>Temperature</t>
        </is>
      </c>
      <c r="E394" s="23" t="inlineStr">
        <is>
          <t>K</t>
        </is>
      </c>
      <c r="F394" s="32">
        <f>"'Daily Inventory (Live Formulas)'!K157 — Raw data, no formula"</f>
        <v/>
      </c>
      <c r="G394" s="33" t="inlineStr">
        <is>
          <t>Raw Data</t>
        </is>
      </c>
      <c r="H394" s="25" t="inlineStr"/>
    </row>
    <row r="395" ht="22" customHeight="1">
      <c r="A395" s="28" t="inlineStr"/>
      <c r="B395" s="29" t="inlineStr"/>
      <c r="C395" s="25" t="inlineStr"/>
      <c r="D395" s="25" t="inlineStr">
        <is>
          <t>Total Water (BBLs)</t>
        </is>
      </c>
      <c r="E395" s="23" t="inlineStr">
        <is>
          <t>L</t>
        </is>
      </c>
      <c r="F395" s="26">
        <f>'Daily Inventory (Live Formulas)'!L157+'Daily Inventory (Live Formulas)'!L158</f>
        <v/>
      </c>
      <c r="G395" s="27" t="inlineStr">
        <is>
          <t>SUM</t>
        </is>
      </c>
      <c r="H395" s="25" t="inlineStr"/>
    </row>
    <row r="396" ht="22" customHeight="1">
      <c r="A396" s="28" t="inlineStr"/>
      <c r="B396" s="29" t="inlineStr"/>
      <c r="C396" s="25" t="inlineStr"/>
      <c r="D396" s="25" t="inlineStr">
        <is>
          <t>BSW Feet</t>
        </is>
      </c>
      <c r="E396" s="23" t="inlineStr">
        <is>
          <t>M</t>
        </is>
      </c>
      <c r="F396" s="32">
        <f>"'Daily Inventory (Live Formulas)'!M157 — Raw data, no formula"</f>
        <v/>
      </c>
      <c r="G396" s="33" t="inlineStr">
        <is>
          <t>Raw Data</t>
        </is>
      </c>
      <c r="H396" s="25" t="inlineStr"/>
    </row>
    <row r="397" ht="22" customHeight="1">
      <c r="A397" s="28" t="inlineStr"/>
      <c r="B397" s="29" t="inlineStr"/>
      <c r="C397" s="25" t="inlineStr"/>
      <c r="D397" s="25" t="inlineStr">
        <is>
          <t>Volume of Available Product (BBLs)</t>
        </is>
      </c>
      <c r="E397" s="23" t="inlineStr">
        <is>
          <t>N</t>
        </is>
      </c>
      <c r="F397" s="26">
        <f>'Daily Inventory (Live Formulas)'!N157+'Daily Inventory (Live Formulas)'!N158</f>
        <v/>
      </c>
      <c r="G397" s="27" t="inlineStr">
        <is>
          <t>SUM</t>
        </is>
      </c>
      <c r="H397" s="25" t="inlineStr"/>
    </row>
    <row r="398" ht="22" customHeight="1">
      <c r="A398" s="28" t="inlineStr"/>
      <c r="B398" s="29" t="inlineStr"/>
      <c r="C398" s="25" t="inlineStr"/>
      <c r="D398" s="25" t="inlineStr">
        <is>
          <t>Remaining Capacity (BBLs)</t>
        </is>
      </c>
      <c r="E398" s="23" t="inlineStr">
        <is>
          <t>O</t>
        </is>
      </c>
      <c r="F398" s="26">
        <f>'Daily Inventory (Live Formulas)'!O157+'Daily Inventory (Live Formulas)'!O158</f>
        <v/>
      </c>
      <c r="G398" s="27" t="inlineStr">
        <is>
          <t>SUM</t>
        </is>
      </c>
      <c r="H398" s="25" t="inlineStr"/>
    </row>
    <row r="399" ht="22" customHeight="1">
      <c r="A399" s="28" t="inlineStr"/>
      <c r="B399" s="29" t="inlineStr"/>
      <c r="C399" s="25" t="inlineStr"/>
      <c r="D399" s="25" t="inlineStr">
        <is>
          <t>Inventory Change Net Vol (BBLs)</t>
        </is>
      </c>
      <c r="E399" s="23" t="inlineStr">
        <is>
          <t>P</t>
        </is>
      </c>
      <c r="F399" s="26">
        <f>'Daily Inventory (Live Formulas)'!P157+'Daily Inventory (Live Formulas)'!P158</f>
        <v/>
      </c>
      <c r="G399" s="27" t="inlineStr">
        <is>
          <t>SUM</t>
        </is>
      </c>
      <c r="H399" s="25" t="inlineStr"/>
    </row>
    <row r="400" ht="22" customHeight="1">
      <c r="A400" s="7" t="n">
        <v>34</v>
      </c>
      <c r="B400" s="5" t="inlineStr">
        <is>
          <t>Acc_RefPropylene</t>
        </is>
      </c>
      <c r="C400" s="6" t="inlineStr">
        <is>
          <t>Refinery Grade Propylene</t>
        </is>
      </c>
      <c r="D400" s="6" t="inlineStr">
        <is>
          <t>Opening Net Volume (BBLs)</t>
        </is>
      </c>
      <c r="E400" s="7" t="inlineStr">
        <is>
          <t>E</t>
        </is>
      </c>
      <c r="F400" s="26">
        <f>'Daily Inventory (Live Formulas)'!E161+'Daily Inventory (Live Formulas)'!E162+'Daily Inventory (Live Formulas)'!E163+'Daily Inventory (Live Formulas)'!E164</f>
        <v/>
      </c>
      <c r="G400" s="27" t="inlineStr">
        <is>
          <t>SUM</t>
        </is>
      </c>
      <c r="H400" s="6" t="inlineStr">
        <is>
          <t>TK350, TK351, TK352, TK353</t>
        </is>
      </c>
    </row>
    <row r="401" ht="22" customHeight="1">
      <c r="A401" s="34" t="inlineStr"/>
      <c r="B401" s="4" t="inlineStr"/>
      <c r="C401" s="6" t="inlineStr"/>
      <c r="D401" s="6" t="inlineStr">
        <is>
          <t>Opening Gravity</t>
        </is>
      </c>
      <c r="E401" s="7" t="inlineStr">
        <is>
          <t>F</t>
        </is>
      </c>
      <c r="F401" s="30">
        <f>AVERAGE('Daily Inventory (Live Formulas)'!F161,'Daily Inventory (Live Formulas)'!F162,'Daily Inventory (Live Formulas)'!F163,'Daily Inventory (Live Formulas)'!F164)</f>
        <v/>
      </c>
      <c r="G401" s="31" t="inlineStr">
        <is>
          <t>AVERAGE</t>
        </is>
      </c>
      <c r="H401" s="6" t="inlineStr"/>
    </row>
    <row r="402" ht="22" customHeight="1">
      <c r="A402" s="34" t="inlineStr"/>
      <c r="B402" s="4" t="inlineStr"/>
      <c r="C402" s="6" t="inlineStr"/>
      <c r="D402" s="6" t="inlineStr">
        <is>
          <t>Closing Net Volume (BBLs)</t>
        </is>
      </c>
      <c r="E402" s="7" t="inlineStr">
        <is>
          <t>G</t>
        </is>
      </c>
      <c r="F402" s="26">
        <f>'Daily Inventory (Live Formulas)'!G161+'Daily Inventory (Live Formulas)'!G162+'Daily Inventory (Live Formulas)'!G163+'Daily Inventory (Live Formulas)'!G164</f>
        <v/>
      </c>
      <c r="G402" s="27" t="inlineStr">
        <is>
          <t>SUM</t>
        </is>
      </c>
      <c r="H402" s="6" t="inlineStr"/>
    </row>
    <row r="403" ht="22" customHeight="1">
      <c r="A403" s="34" t="inlineStr"/>
      <c r="B403" s="4" t="inlineStr"/>
      <c r="C403" s="6" t="inlineStr"/>
      <c r="D403" s="6" t="inlineStr">
        <is>
          <t>Closing Gross Volume (BBLs)</t>
        </is>
      </c>
      <c r="E403" s="7" t="inlineStr">
        <is>
          <t>H</t>
        </is>
      </c>
      <c r="F403" s="26">
        <f>'Daily Inventory (Live Formulas)'!H161+'Daily Inventory (Live Formulas)'!H162+'Daily Inventory (Live Formulas)'!H163+'Daily Inventory (Live Formulas)'!H164</f>
        <v/>
      </c>
      <c r="G403" s="27" t="inlineStr">
        <is>
          <t>SUM</t>
        </is>
      </c>
      <c r="H403" s="6" t="inlineStr"/>
    </row>
    <row r="404" ht="22" customHeight="1">
      <c r="A404" s="34" t="inlineStr"/>
      <c r="B404" s="4" t="inlineStr"/>
      <c r="C404" s="6" t="inlineStr"/>
      <c r="D404" s="6" t="inlineStr">
        <is>
          <t>Level Feet</t>
        </is>
      </c>
      <c r="E404" s="7" t="inlineStr">
        <is>
          <t>I</t>
        </is>
      </c>
      <c r="F404" s="32">
        <f>"'Daily Inventory (Live Formulas)'!I161 — Raw data, no formula"</f>
        <v/>
      </c>
      <c r="G404" s="33" t="inlineStr">
        <is>
          <t>Raw Data</t>
        </is>
      </c>
      <c r="H404" s="6" t="inlineStr"/>
    </row>
    <row r="405" ht="22" customHeight="1">
      <c r="A405" s="34" t="inlineStr"/>
      <c r="B405" s="4" t="inlineStr"/>
      <c r="C405" s="6" t="inlineStr"/>
      <c r="D405" s="6" t="inlineStr">
        <is>
          <t>Gravity (Closing)</t>
        </is>
      </c>
      <c r="E405" s="7" t="inlineStr">
        <is>
          <t>J</t>
        </is>
      </c>
      <c r="F405" s="30">
        <f>AVERAGE('Daily Inventory (Live Formulas)'!J161,'Daily Inventory (Live Formulas)'!J162,'Daily Inventory (Live Formulas)'!J163,'Daily Inventory (Live Formulas)'!J164)</f>
        <v/>
      </c>
      <c r="G405" s="31" t="inlineStr">
        <is>
          <t>AVERAGE</t>
        </is>
      </c>
      <c r="H405" s="6" t="inlineStr"/>
    </row>
    <row r="406" ht="22" customHeight="1">
      <c r="A406" s="34" t="inlineStr"/>
      <c r="B406" s="4" t="inlineStr"/>
      <c r="C406" s="6" t="inlineStr"/>
      <c r="D406" s="6" t="inlineStr">
        <is>
          <t>Temperature</t>
        </is>
      </c>
      <c r="E406" s="7" t="inlineStr">
        <is>
          <t>K</t>
        </is>
      </c>
      <c r="F406" s="32">
        <f>"'Daily Inventory (Live Formulas)'!K161 — Raw data, no formula"</f>
        <v/>
      </c>
      <c r="G406" s="33" t="inlineStr">
        <is>
          <t>Raw Data</t>
        </is>
      </c>
      <c r="H406" s="6" t="inlineStr"/>
    </row>
    <row r="407" ht="22" customHeight="1">
      <c r="A407" s="34" t="inlineStr"/>
      <c r="B407" s="4" t="inlineStr"/>
      <c r="C407" s="6" t="inlineStr"/>
      <c r="D407" s="6" t="inlineStr">
        <is>
          <t>Total Water (BBLs)</t>
        </is>
      </c>
      <c r="E407" s="7" t="inlineStr">
        <is>
          <t>L</t>
        </is>
      </c>
      <c r="F407" s="26">
        <f>'Daily Inventory (Live Formulas)'!L161+'Daily Inventory (Live Formulas)'!L162+'Daily Inventory (Live Formulas)'!L163+'Daily Inventory (Live Formulas)'!L164</f>
        <v/>
      </c>
      <c r="G407" s="27" t="inlineStr">
        <is>
          <t>SUM</t>
        </is>
      </c>
      <c r="H407" s="6" t="inlineStr"/>
    </row>
    <row r="408" ht="22" customHeight="1">
      <c r="A408" s="34" t="inlineStr"/>
      <c r="B408" s="4" t="inlineStr"/>
      <c r="C408" s="6" t="inlineStr"/>
      <c r="D408" s="6" t="inlineStr">
        <is>
          <t>BSW Feet</t>
        </is>
      </c>
      <c r="E408" s="7" t="inlineStr">
        <is>
          <t>M</t>
        </is>
      </c>
      <c r="F408" s="32">
        <f>"'Daily Inventory (Live Formulas)'!M161 — Raw data, no formula"</f>
        <v/>
      </c>
      <c r="G408" s="33" t="inlineStr">
        <is>
          <t>Raw Data</t>
        </is>
      </c>
      <c r="H408" s="6" t="inlineStr"/>
    </row>
    <row r="409" ht="22" customHeight="1">
      <c r="A409" s="34" t="inlineStr"/>
      <c r="B409" s="4" t="inlineStr"/>
      <c r="C409" s="6" t="inlineStr"/>
      <c r="D409" s="6" t="inlineStr">
        <is>
          <t>Volume of Available Product (BBLs)</t>
        </is>
      </c>
      <c r="E409" s="7" t="inlineStr">
        <is>
          <t>N</t>
        </is>
      </c>
      <c r="F409" s="26">
        <f>'Daily Inventory (Live Formulas)'!N161+'Daily Inventory (Live Formulas)'!N162+'Daily Inventory (Live Formulas)'!N163+'Daily Inventory (Live Formulas)'!N164</f>
        <v/>
      </c>
      <c r="G409" s="27" t="inlineStr">
        <is>
          <t>SUM</t>
        </is>
      </c>
      <c r="H409" s="6" t="inlineStr"/>
    </row>
    <row r="410" ht="22" customHeight="1">
      <c r="A410" s="34" t="inlineStr"/>
      <c r="B410" s="4" t="inlineStr"/>
      <c r="C410" s="6" t="inlineStr"/>
      <c r="D410" s="6" t="inlineStr">
        <is>
          <t>Remaining Capacity (BBLs)</t>
        </is>
      </c>
      <c r="E410" s="7" t="inlineStr">
        <is>
          <t>O</t>
        </is>
      </c>
      <c r="F410" s="26">
        <f>'Daily Inventory (Live Formulas)'!O161+'Daily Inventory (Live Formulas)'!O162+'Daily Inventory (Live Formulas)'!O163+'Daily Inventory (Live Formulas)'!O164</f>
        <v/>
      </c>
      <c r="G410" s="27" t="inlineStr">
        <is>
          <t>SUM</t>
        </is>
      </c>
      <c r="H410" s="6" t="inlineStr"/>
    </row>
    <row r="411" ht="22" customHeight="1">
      <c r="A411" s="34" t="inlineStr"/>
      <c r="B411" s="4" t="inlineStr"/>
      <c r="C411" s="6" t="inlineStr"/>
      <c r="D411" s="6" t="inlineStr">
        <is>
          <t>Inventory Change Net Vol (BBLs)</t>
        </is>
      </c>
      <c r="E411" s="7" t="inlineStr">
        <is>
          <t>P</t>
        </is>
      </c>
      <c r="F411" s="26">
        <f>'Daily Inventory (Live Formulas)'!P161+'Daily Inventory (Live Formulas)'!P162+'Daily Inventory (Live Formulas)'!P163+'Daily Inventory (Live Formulas)'!P164</f>
        <v/>
      </c>
      <c r="G411" s="27" t="inlineStr">
        <is>
          <t>SUM</t>
        </is>
      </c>
      <c r="H411" s="6" t="inlineStr"/>
    </row>
    <row r="412" ht="22" customHeight="1">
      <c r="A412" s="23" t="n">
        <v>35</v>
      </c>
      <c r="B412" s="24" t="inlineStr">
        <is>
          <t>Acc_RenewDiesel</t>
        </is>
      </c>
      <c r="C412" s="25" t="inlineStr">
        <is>
          <t>Renewable Diesel Consumption</t>
        </is>
      </c>
      <c r="D412" s="25" t="inlineStr">
        <is>
          <t>Opening Net Volume (BBLs)</t>
        </is>
      </c>
      <c r="E412" s="23" t="inlineStr">
        <is>
          <t>E</t>
        </is>
      </c>
      <c r="F412" s="26">
        <f>'Daily Inventory (Live Formulas)'!E167+'Daily Inventory (Live Formulas)'!E168+'Daily Inventory (Live Formulas)'!E169</f>
        <v/>
      </c>
      <c r="G412" s="27" t="inlineStr">
        <is>
          <t>SUM</t>
        </is>
      </c>
      <c r="H412" s="25" t="inlineStr">
        <is>
          <t>TK36, TK37, TK39</t>
        </is>
      </c>
    </row>
    <row r="413" ht="22" customHeight="1">
      <c r="A413" s="28" t="inlineStr"/>
      <c r="B413" s="29" t="inlineStr"/>
      <c r="C413" s="25" t="inlineStr"/>
      <c r="D413" s="25" t="inlineStr">
        <is>
          <t>Opening Gravity</t>
        </is>
      </c>
      <c r="E413" s="23" t="inlineStr">
        <is>
          <t>F</t>
        </is>
      </c>
      <c r="F413" s="30">
        <f>AVERAGE('Daily Inventory (Live Formulas)'!F167,'Daily Inventory (Live Formulas)'!F168,'Daily Inventory (Live Formulas)'!F169)</f>
        <v/>
      </c>
      <c r="G413" s="31" t="inlineStr">
        <is>
          <t>AVERAGE</t>
        </is>
      </c>
      <c r="H413" s="25" t="inlineStr"/>
    </row>
    <row r="414" ht="22" customHeight="1">
      <c r="A414" s="28" t="inlineStr"/>
      <c r="B414" s="29" t="inlineStr"/>
      <c r="C414" s="25" t="inlineStr"/>
      <c r="D414" s="25" t="inlineStr">
        <is>
          <t>Closing Net Volume (BBLs)</t>
        </is>
      </c>
      <c r="E414" s="23" t="inlineStr">
        <is>
          <t>G</t>
        </is>
      </c>
      <c r="F414" s="26">
        <f>'Daily Inventory (Live Formulas)'!G167+'Daily Inventory (Live Formulas)'!G168+'Daily Inventory (Live Formulas)'!G169</f>
        <v/>
      </c>
      <c r="G414" s="27" t="inlineStr">
        <is>
          <t>SUM</t>
        </is>
      </c>
      <c r="H414" s="25" t="inlineStr"/>
    </row>
    <row r="415" ht="22" customHeight="1">
      <c r="A415" s="28" t="inlineStr"/>
      <c r="B415" s="29" t="inlineStr"/>
      <c r="C415" s="25" t="inlineStr"/>
      <c r="D415" s="25" t="inlineStr">
        <is>
          <t>Closing Gross Volume (BBLs)</t>
        </is>
      </c>
      <c r="E415" s="23" t="inlineStr">
        <is>
          <t>H</t>
        </is>
      </c>
      <c r="F415" s="26">
        <f>'Daily Inventory (Live Formulas)'!H167+'Daily Inventory (Live Formulas)'!H168+'Daily Inventory (Live Formulas)'!H169</f>
        <v/>
      </c>
      <c r="G415" s="27" t="inlineStr">
        <is>
          <t>SUM</t>
        </is>
      </c>
      <c r="H415" s="25" t="inlineStr"/>
    </row>
    <row r="416" ht="22" customHeight="1">
      <c r="A416" s="28" t="inlineStr"/>
      <c r="B416" s="29" t="inlineStr"/>
      <c r="C416" s="25" t="inlineStr"/>
      <c r="D416" s="25" t="inlineStr">
        <is>
          <t>Level Feet</t>
        </is>
      </c>
      <c r="E416" s="23" t="inlineStr">
        <is>
          <t>I</t>
        </is>
      </c>
      <c r="F416" s="32">
        <f>"'Daily Inventory (Live Formulas)'!I167 — Raw data, no formula"</f>
        <v/>
      </c>
      <c r="G416" s="33" t="inlineStr">
        <is>
          <t>Raw Data</t>
        </is>
      </c>
      <c r="H416" s="25" t="inlineStr"/>
    </row>
    <row r="417" ht="22" customHeight="1">
      <c r="A417" s="28" t="inlineStr"/>
      <c r="B417" s="29" t="inlineStr"/>
      <c r="C417" s="25" t="inlineStr"/>
      <c r="D417" s="25" t="inlineStr">
        <is>
          <t>Gravity (Closing)</t>
        </is>
      </c>
      <c r="E417" s="23" t="inlineStr">
        <is>
          <t>J</t>
        </is>
      </c>
      <c r="F417" s="30">
        <f>AVERAGE('Daily Inventory (Live Formulas)'!J167,'Daily Inventory (Live Formulas)'!J168,'Daily Inventory (Live Formulas)'!J169)</f>
        <v/>
      </c>
      <c r="G417" s="31" t="inlineStr">
        <is>
          <t>AVERAGE</t>
        </is>
      </c>
      <c r="H417" s="25" t="inlineStr"/>
    </row>
    <row r="418" ht="22" customHeight="1">
      <c r="A418" s="28" t="inlineStr"/>
      <c r="B418" s="29" t="inlineStr"/>
      <c r="C418" s="25" t="inlineStr"/>
      <c r="D418" s="25" t="inlineStr">
        <is>
          <t>Temperature</t>
        </is>
      </c>
      <c r="E418" s="23" t="inlineStr">
        <is>
          <t>K</t>
        </is>
      </c>
      <c r="F418" s="32">
        <f>"'Daily Inventory (Live Formulas)'!K167 — Raw data, no formula"</f>
        <v/>
      </c>
      <c r="G418" s="33" t="inlineStr">
        <is>
          <t>Raw Data</t>
        </is>
      </c>
      <c r="H418" s="25" t="inlineStr"/>
    </row>
    <row r="419" ht="22" customHeight="1">
      <c r="A419" s="28" t="inlineStr"/>
      <c r="B419" s="29" t="inlineStr"/>
      <c r="C419" s="25" t="inlineStr"/>
      <c r="D419" s="25" t="inlineStr">
        <is>
          <t>Total Water (BBLs)</t>
        </is>
      </c>
      <c r="E419" s="23" t="inlineStr">
        <is>
          <t>L</t>
        </is>
      </c>
      <c r="F419" s="26">
        <f>'Daily Inventory (Live Formulas)'!L167+'Daily Inventory (Live Formulas)'!L168+'Daily Inventory (Live Formulas)'!L169</f>
        <v/>
      </c>
      <c r="G419" s="27" t="inlineStr">
        <is>
          <t>SUM</t>
        </is>
      </c>
      <c r="H419" s="25" t="inlineStr"/>
    </row>
    <row r="420" ht="22" customHeight="1">
      <c r="A420" s="28" t="inlineStr"/>
      <c r="B420" s="29" t="inlineStr"/>
      <c r="C420" s="25" t="inlineStr"/>
      <c r="D420" s="25" t="inlineStr">
        <is>
          <t>BSW Feet</t>
        </is>
      </c>
      <c r="E420" s="23" t="inlineStr">
        <is>
          <t>M</t>
        </is>
      </c>
      <c r="F420" s="32">
        <f>"'Daily Inventory (Live Formulas)'!M167 — Raw data, no formula"</f>
        <v/>
      </c>
      <c r="G420" s="33" t="inlineStr">
        <is>
          <t>Raw Data</t>
        </is>
      </c>
      <c r="H420" s="25" t="inlineStr"/>
    </row>
    <row r="421" ht="22" customHeight="1">
      <c r="A421" s="28" t="inlineStr"/>
      <c r="B421" s="29" t="inlineStr"/>
      <c r="C421" s="25" t="inlineStr"/>
      <c r="D421" s="25" t="inlineStr">
        <is>
          <t>Volume of Available Product (BBLs)</t>
        </is>
      </c>
      <c r="E421" s="23" t="inlineStr">
        <is>
          <t>N</t>
        </is>
      </c>
      <c r="F421" s="26">
        <f>'Daily Inventory (Live Formulas)'!N167+'Daily Inventory (Live Formulas)'!N168+'Daily Inventory (Live Formulas)'!N169</f>
        <v/>
      </c>
      <c r="G421" s="27" t="inlineStr">
        <is>
          <t>SUM</t>
        </is>
      </c>
      <c r="H421" s="25" t="inlineStr"/>
    </row>
    <row r="422" ht="22" customHeight="1">
      <c r="A422" s="28" t="inlineStr"/>
      <c r="B422" s="29" t="inlineStr"/>
      <c r="C422" s="25" t="inlineStr"/>
      <c r="D422" s="25" t="inlineStr">
        <is>
          <t>Remaining Capacity (BBLs)</t>
        </is>
      </c>
      <c r="E422" s="23" t="inlineStr">
        <is>
          <t>O</t>
        </is>
      </c>
      <c r="F422" s="26">
        <f>'Daily Inventory (Live Formulas)'!O167+'Daily Inventory (Live Formulas)'!O168+'Daily Inventory (Live Formulas)'!O169</f>
        <v/>
      </c>
      <c r="G422" s="27" t="inlineStr">
        <is>
          <t>SUM</t>
        </is>
      </c>
      <c r="H422" s="25" t="inlineStr"/>
    </row>
    <row r="423" ht="22" customHeight="1">
      <c r="A423" s="28" t="inlineStr"/>
      <c r="B423" s="29" t="inlineStr"/>
      <c r="C423" s="25" t="inlineStr"/>
      <c r="D423" s="25" t="inlineStr">
        <is>
          <t>Inventory Change Net Vol (BBLs)</t>
        </is>
      </c>
      <c r="E423" s="23" t="inlineStr">
        <is>
          <t>P</t>
        </is>
      </c>
      <c r="F423" s="26">
        <f>'Daily Inventory (Live Formulas)'!P167+'Daily Inventory (Live Formulas)'!P168+'Daily Inventory (Live Formulas)'!P169</f>
        <v/>
      </c>
      <c r="G423" s="27" t="inlineStr">
        <is>
          <t>SUM</t>
        </is>
      </c>
      <c r="H423" s="25" t="inlineStr"/>
    </row>
    <row r="424" ht="22" customHeight="1">
      <c r="A424" s="7" t="n">
        <v>36</v>
      </c>
      <c r="B424" s="5" t="inlineStr">
        <is>
          <t>Acc_RenewNaph</t>
        </is>
      </c>
      <c r="C424" s="6" t="inlineStr">
        <is>
          <t>Renewable Naphtha Consumption</t>
        </is>
      </c>
      <c r="D424" s="6" t="inlineStr">
        <is>
          <t>Opening Net Volume (BBLs)</t>
        </is>
      </c>
      <c r="E424" s="7" t="inlineStr">
        <is>
          <t>E</t>
        </is>
      </c>
      <c r="F424" s="26">
        <f>'Daily Inventory (Live Formulas)'!E172+'Daily Inventory (Live Formulas)'!E173</f>
        <v/>
      </c>
      <c r="G424" s="27" t="inlineStr">
        <is>
          <t>SUM</t>
        </is>
      </c>
      <c r="H424" s="6" t="inlineStr">
        <is>
          <t>TK27, TK28</t>
        </is>
      </c>
    </row>
    <row r="425" ht="22" customHeight="1">
      <c r="A425" s="34" t="inlineStr"/>
      <c r="B425" s="4" t="inlineStr"/>
      <c r="C425" s="6" t="inlineStr"/>
      <c r="D425" s="6" t="inlineStr">
        <is>
          <t>Opening Gravity</t>
        </is>
      </c>
      <c r="E425" s="7" t="inlineStr">
        <is>
          <t>F</t>
        </is>
      </c>
      <c r="F425" s="30">
        <f>AVERAGE('Daily Inventory (Live Formulas)'!F172,'Daily Inventory (Live Formulas)'!F173)</f>
        <v/>
      </c>
      <c r="G425" s="31" t="inlineStr">
        <is>
          <t>AVERAGE</t>
        </is>
      </c>
      <c r="H425" s="6" t="inlineStr"/>
    </row>
    <row r="426" ht="22" customHeight="1">
      <c r="A426" s="34" t="inlineStr"/>
      <c r="B426" s="4" t="inlineStr"/>
      <c r="C426" s="6" t="inlineStr"/>
      <c r="D426" s="6" t="inlineStr">
        <is>
          <t>Closing Net Volume (BBLs)</t>
        </is>
      </c>
      <c r="E426" s="7" t="inlineStr">
        <is>
          <t>G</t>
        </is>
      </c>
      <c r="F426" s="26">
        <f>'Daily Inventory (Live Formulas)'!G172+'Daily Inventory (Live Formulas)'!G173</f>
        <v/>
      </c>
      <c r="G426" s="27" t="inlineStr">
        <is>
          <t>SUM</t>
        </is>
      </c>
      <c r="H426" s="6" t="inlineStr"/>
    </row>
    <row r="427" ht="22" customHeight="1">
      <c r="A427" s="34" t="inlineStr"/>
      <c r="B427" s="4" t="inlineStr"/>
      <c r="C427" s="6" t="inlineStr"/>
      <c r="D427" s="6" t="inlineStr">
        <is>
          <t>Closing Gross Volume (BBLs)</t>
        </is>
      </c>
      <c r="E427" s="7" t="inlineStr">
        <is>
          <t>H</t>
        </is>
      </c>
      <c r="F427" s="26">
        <f>'Daily Inventory (Live Formulas)'!H172+'Daily Inventory (Live Formulas)'!H173</f>
        <v/>
      </c>
      <c r="G427" s="27" t="inlineStr">
        <is>
          <t>SUM</t>
        </is>
      </c>
      <c r="H427" s="6" t="inlineStr"/>
    </row>
    <row r="428" ht="22" customHeight="1">
      <c r="A428" s="34" t="inlineStr"/>
      <c r="B428" s="4" t="inlineStr"/>
      <c r="C428" s="6" t="inlineStr"/>
      <c r="D428" s="6" t="inlineStr">
        <is>
          <t>Level Feet</t>
        </is>
      </c>
      <c r="E428" s="7" t="inlineStr">
        <is>
          <t>I</t>
        </is>
      </c>
      <c r="F428" s="32">
        <f>"'Daily Inventory (Live Formulas)'!I172 — Raw data, no formula"</f>
        <v/>
      </c>
      <c r="G428" s="33" t="inlineStr">
        <is>
          <t>Raw Data</t>
        </is>
      </c>
      <c r="H428" s="6" t="inlineStr"/>
    </row>
    <row r="429" ht="22" customHeight="1">
      <c r="A429" s="34" t="inlineStr"/>
      <c r="B429" s="4" t="inlineStr"/>
      <c r="C429" s="6" t="inlineStr"/>
      <c r="D429" s="6" t="inlineStr">
        <is>
          <t>Gravity (Closing)</t>
        </is>
      </c>
      <c r="E429" s="7" t="inlineStr">
        <is>
          <t>J</t>
        </is>
      </c>
      <c r="F429" s="30">
        <f>AVERAGE('Daily Inventory (Live Formulas)'!J172,'Daily Inventory (Live Formulas)'!J173)</f>
        <v/>
      </c>
      <c r="G429" s="31" t="inlineStr">
        <is>
          <t>AVERAGE</t>
        </is>
      </c>
      <c r="H429" s="6" t="inlineStr"/>
    </row>
    <row r="430" ht="22" customHeight="1">
      <c r="A430" s="34" t="inlineStr"/>
      <c r="B430" s="4" t="inlineStr"/>
      <c r="C430" s="6" t="inlineStr"/>
      <c r="D430" s="6" t="inlineStr">
        <is>
          <t>Temperature</t>
        </is>
      </c>
      <c r="E430" s="7" t="inlineStr">
        <is>
          <t>K</t>
        </is>
      </c>
      <c r="F430" s="32">
        <f>"'Daily Inventory (Live Formulas)'!K172 — Raw data, no formula"</f>
        <v/>
      </c>
      <c r="G430" s="33" t="inlineStr">
        <is>
          <t>Raw Data</t>
        </is>
      </c>
      <c r="H430" s="6" t="inlineStr"/>
    </row>
    <row r="431" ht="22" customHeight="1">
      <c r="A431" s="34" t="inlineStr"/>
      <c r="B431" s="4" t="inlineStr"/>
      <c r="C431" s="6" t="inlineStr"/>
      <c r="D431" s="6" t="inlineStr">
        <is>
          <t>Total Water (BBLs)</t>
        </is>
      </c>
      <c r="E431" s="7" t="inlineStr">
        <is>
          <t>L</t>
        </is>
      </c>
      <c r="F431" s="26">
        <f>'Daily Inventory (Live Formulas)'!L172+'Daily Inventory (Live Formulas)'!L173</f>
        <v/>
      </c>
      <c r="G431" s="27" t="inlineStr">
        <is>
          <t>SUM</t>
        </is>
      </c>
      <c r="H431" s="6" t="inlineStr"/>
    </row>
    <row r="432" ht="22" customHeight="1">
      <c r="A432" s="34" t="inlineStr"/>
      <c r="B432" s="4" t="inlineStr"/>
      <c r="C432" s="6" t="inlineStr"/>
      <c r="D432" s="6" t="inlineStr">
        <is>
          <t>BSW Feet</t>
        </is>
      </c>
      <c r="E432" s="7" t="inlineStr">
        <is>
          <t>M</t>
        </is>
      </c>
      <c r="F432" s="32">
        <f>"'Daily Inventory (Live Formulas)'!M172 — Raw data, no formula"</f>
        <v/>
      </c>
      <c r="G432" s="33" t="inlineStr">
        <is>
          <t>Raw Data</t>
        </is>
      </c>
      <c r="H432" s="6" t="inlineStr"/>
    </row>
    <row r="433" ht="22" customHeight="1">
      <c r="A433" s="34" t="inlineStr"/>
      <c r="B433" s="4" t="inlineStr"/>
      <c r="C433" s="6" t="inlineStr"/>
      <c r="D433" s="6" t="inlineStr">
        <is>
          <t>Volume of Available Product (BBLs)</t>
        </is>
      </c>
      <c r="E433" s="7" t="inlineStr">
        <is>
          <t>N</t>
        </is>
      </c>
      <c r="F433" s="26">
        <f>'Daily Inventory (Live Formulas)'!N172+'Daily Inventory (Live Formulas)'!N173</f>
        <v/>
      </c>
      <c r="G433" s="27" t="inlineStr">
        <is>
          <t>SUM</t>
        </is>
      </c>
      <c r="H433" s="6" t="inlineStr"/>
    </row>
    <row r="434" ht="22" customHeight="1">
      <c r="A434" s="34" t="inlineStr"/>
      <c r="B434" s="4" t="inlineStr"/>
      <c r="C434" s="6" t="inlineStr"/>
      <c r="D434" s="6" t="inlineStr">
        <is>
          <t>Remaining Capacity (BBLs)</t>
        </is>
      </c>
      <c r="E434" s="7" t="inlineStr">
        <is>
          <t>O</t>
        </is>
      </c>
      <c r="F434" s="26">
        <f>'Daily Inventory (Live Formulas)'!O172+'Daily Inventory (Live Formulas)'!O173</f>
        <v/>
      </c>
      <c r="G434" s="27" t="inlineStr">
        <is>
          <t>SUM</t>
        </is>
      </c>
      <c r="H434" s="6" t="inlineStr"/>
    </row>
    <row r="435" ht="22" customHeight="1">
      <c r="A435" s="34" t="inlineStr"/>
      <c r="B435" s="4" t="inlineStr"/>
      <c r="C435" s="6" t="inlineStr"/>
      <c r="D435" s="6" t="inlineStr">
        <is>
          <t>Inventory Change Net Vol (BBLs)</t>
        </is>
      </c>
      <c r="E435" s="7" t="inlineStr">
        <is>
          <t>P</t>
        </is>
      </c>
      <c r="F435" s="26">
        <f>'Daily Inventory (Live Formulas)'!P172+'Daily Inventory (Live Formulas)'!P173</f>
        <v/>
      </c>
      <c r="G435" s="27" t="inlineStr">
        <is>
          <t>SUM</t>
        </is>
      </c>
      <c r="H435" s="6" t="inlineStr"/>
    </row>
    <row r="436" ht="22" customHeight="1">
      <c r="A436" s="23" t="n">
        <v>37</v>
      </c>
      <c r="B436" s="24" t="inlineStr">
        <is>
          <t>Acc_SlopOil</t>
        </is>
      </c>
      <c r="C436" s="25" t="inlineStr">
        <is>
          <t>Slop Oil</t>
        </is>
      </c>
      <c r="D436" s="25" t="inlineStr">
        <is>
          <t>Opening Net Volume (BBLs)</t>
        </is>
      </c>
      <c r="E436" s="23" t="inlineStr">
        <is>
          <t>E</t>
        </is>
      </c>
      <c r="F436" s="26">
        <f>'Daily Inventory (Live Formulas)'!E176+'Daily Inventory (Live Formulas)'!E177+'Daily Inventory (Live Formulas)'!E178+'Daily Inventory (Live Formulas)'!E179+'Daily Inventory (Live Formulas)'!E180+'Daily Inventory (Live Formulas)'!E181+'Daily Inventory (Live Formulas)'!E182+'Daily Inventory (Live Formulas)'!E183+'Daily Inventory (Live Formulas)'!E184+'Daily Inventory (Live Formulas)'!E185+'Daily Inventory (Live Formulas)'!E186+'Daily Inventory (Live Formulas)'!E187+'Daily Inventory (Live Formulas)'!E188+'Daily Inventory (Live Formulas)'!E189+'Daily Inventory (Live Formulas)'!E190+'Daily Inventory (Live Formulas)'!E191+'Daily Inventory (Live Formulas)'!E192</f>
        <v/>
      </c>
      <c r="G436" s="27" t="inlineStr">
        <is>
          <t>SUM</t>
        </is>
      </c>
      <c r="H436" s="25" t="inlineStr">
        <is>
          <t>TK1, TK101, TK102, TK103, TK12, TK154, TK164, TK188, TK189, TK190, TK194, TK284, TK426, TK614, TK700, TK777, TK778</t>
        </is>
      </c>
    </row>
    <row r="437" ht="22" customHeight="1">
      <c r="A437" s="28" t="inlineStr"/>
      <c r="B437" s="29" t="inlineStr"/>
      <c r="C437" s="25" t="inlineStr"/>
      <c r="D437" s="25" t="inlineStr">
        <is>
          <t>Opening Gravity</t>
        </is>
      </c>
      <c r="E437" s="23" t="inlineStr">
        <is>
          <t>F</t>
        </is>
      </c>
      <c r="F437" s="30">
        <f>AVERAGE('Daily Inventory (Live Formulas)'!F176,'Daily Inventory (Live Formulas)'!F177,'Daily Inventory (Live Formulas)'!F178,'Daily Inventory (Live Formulas)'!F179,'Daily Inventory (Live Formulas)'!F180,'Daily Inventory (Live Formulas)'!F181,'Daily Inventory (Live Formulas)'!F182,'Daily Inventory (Live Formulas)'!F183,'Daily Inventory (Live Formulas)'!F184,'Daily Inventory (Live Formulas)'!F185,'Daily Inventory (Live Formulas)'!F186,'Daily Inventory (Live Formulas)'!F187,'Daily Inventory (Live Formulas)'!F188,'Daily Inventory (Live Formulas)'!F189,'Daily Inventory (Live Formulas)'!F190,'Daily Inventory (Live Formulas)'!F191,'Daily Inventory (Live Formulas)'!F192)</f>
        <v/>
      </c>
      <c r="G437" s="31" t="inlineStr">
        <is>
          <t>AVERAGE</t>
        </is>
      </c>
      <c r="H437" s="25" t="inlineStr"/>
    </row>
    <row r="438" ht="22" customHeight="1">
      <c r="A438" s="28" t="inlineStr"/>
      <c r="B438" s="29" t="inlineStr"/>
      <c r="C438" s="25" t="inlineStr"/>
      <c r="D438" s="25" t="inlineStr">
        <is>
          <t>Closing Net Volume (BBLs)</t>
        </is>
      </c>
      <c r="E438" s="23" t="inlineStr">
        <is>
          <t>G</t>
        </is>
      </c>
      <c r="F438" s="26">
        <f>'Daily Inventory (Live Formulas)'!G176+'Daily Inventory (Live Formulas)'!G177+'Daily Inventory (Live Formulas)'!G178+'Daily Inventory (Live Formulas)'!G179+'Daily Inventory (Live Formulas)'!G180+'Daily Inventory (Live Formulas)'!G181+'Daily Inventory (Live Formulas)'!G182+'Daily Inventory (Live Formulas)'!G183+'Daily Inventory (Live Formulas)'!G184+'Daily Inventory (Live Formulas)'!G185+'Daily Inventory (Live Formulas)'!G186+'Daily Inventory (Live Formulas)'!G187+'Daily Inventory (Live Formulas)'!G188+'Daily Inventory (Live Formulas)'!G189+'Daily Inventory (Live Formulas)'!G190+'Daily Inventory (Live Formulas)'!G191+'Daily Inventory (Live Formulas)'!G192</f>
        <v/>
      </c>
      <c r="G438" s="27" t="inlineStr">
        <is>
          <t>SUM</t>
        </is>
      </c>
      <c r="H438" s="25" t="inlineStr"/>
    </row>
    <row r="439" ht="22" customHeight="1">
      <c r="A439" s="28" t="inlineStr"/>
      <c r="B439" s="29" t="inlineStr"/>
      <c r="C439" s="25" t="inlineStr"/>
      <c r="D439" s="25" t="inlineStr">
        <is>
          <t>Closing Gross Volume (BBLs)</t>
        </is>
      </c>
      <c r="E439" s="23" t="inlineStr">
        <is>
          <t>H</t>
        </is>
      </c>
      <c r="F439" s="26">
        <f>'Daily Inventory (Live Formulas)'!H176+'Daily Inventory (Live Formulas)'!H177+'Daily Inventory (Live Formulas)'!H178+'Daily Inventory (Live Formulas)'!H179+'Daily Inventory (Live Formulas)'!H180+'Daily Inventory (Live Formulas)'!H181+'Daily Inventory (Live Formulas)'!H182+'Daily Inventory (Live Formulas)'!H183+'Daily Inventory (Live Formulas)'!H184+'Daily Inventory (Live Formulas)'!H185+'Daily Inventory (Live Formulas)'!H186+'Daily Inventory (Live Formulas)'!H187+'Daily Inventory (Live Formulas)'!H188+'Daily Inventory (Live Formulas)'!H189+'Daily Inventory (Live Formulas)'!H190+'Daily Inventory (Live Formulas)'!H191+'Daily Inventory (Live Formulas)'!H192</f>
        <v/>
      </c>
      <c r="G439" s="27" t="inlineStr">
        <is>
          <t>SUM</t>
        </is>
      </c>
      <c r="H439" s="25" t="inlineStr"/>
    </row>
    <row r="440" ht="22" customHeight="1">
      <c r="A440" s="28" t="inlineStr"/>
      <c r="B440" s="29" t="inlineStr"/>
      <c r="C440" s="25" t="inlineStr"/>
      <c r="D440" s="25" t="inlineStr">
        <is>
          <t>Level Feet</t>
        </is>
      </c>
      <c r="E440" s="23" t="inlineStr">
        <is>
          <t>I</t>
        </is>
      </c>
      <c r="F440" s="32">
        <f>"'Daily Inventory (Live Formulas)'!I176 — Raw data, no formula"</f>
        <v/>
      </c>
      <c r="G440" s="33" t="inlineStr">
        <is>
          <t>Raw Data</t>
        </is>
      </c>
      <c r="H440" s="25" t="inlineStr"/>
    </row>
    <row r="441" ht="22" customHeight="1">
      <c r="A441" s="28" t="inlineStr"/>
      <c r="B441" s="29" t="inlineStr"/>
      <c r="C441" s="25" t="inlineStr"/>
      <c r="D441" s="25" t="inlineStr">
        <is>
          <t>Gravity (Closing)</t>
        </is>
      </c>
      <c r="E441" s="23" t="inlineStr">
        <is>
          <t>J</t>
        </is>
      </c>
      <c r="F441" s="30">
        <f>AVERAGE('Daily Inventory (Live Formulas)'!J176,'Daily Inventory (Live Formulas)'!J177,'Daily Inventory (Live Formulas)'!J178,'Daily Inventory (Live Formulas)'!J179,'Daily Inventory (Live Formulas)'!J180,'Daily Inventory (Live Formulas)'!J181,'Daily Inventory (Live Formulas)'!J182,'Daily Inventory (Live Formulas)'!J183,'Daily Inventory (Live Formulas)'!J184,'Daily Inventory (Live Formulas)'!J185,'Daily Inventory (Live Formulas)'!J186,'Daily Inventory (Live Formulas)'!J187,'Daily Inventory (Live Formulas)'!J188,'Daily Inventory (Live Formulas)'!J189,'Daily Inventory (Live Formulas)'!J190,'Daily Inventory (Live Formulas)'!J191,'Daily Inventory (Live Formulas)'!J192)</f>
        <v/>
      </c>
      <c r="G441" s="31" t="inlineStr">
        <is>
          <t>AVERAGE</t>
        </is>
      </c>
      <c r="H441" s="25" t="inlineStr"/>
    </row>
    <row r="442" ht="22" customHeight="1">
      <c r="A442" s="28" t="inlineStr"/>
      <c r="B442" s="29" t="inlineStr"/>
      <c r="C442" s="25" t="inlineStr"/>
      <c r="D442" s="25" t="inlineStr">
        <is>
          <t>Temperature</t>
        </is>
      </c>
      <c r="E442" s="23" t="inlineStr">
        <is>
          <t>K</t>
        </is>
      </c>
      <c r="F442" s="32">
        <f>"'Daily Inventory (Live Formulas)'!K176 — Raw data, no formula"</f>
        <v/>
      </c>
      <c r="G442" s="33" t="inlineStr">
        <is>
          <t>Raw Data</t>
        </is>
      </c>
      <c r="H442" s="25" t="inlineStr"/>
    </row>
    <row r="443" ht="22" customHeight="1">
      <c r="A443" s="28" t="inlineStr"/>
      <c r="B443" s="29" t="inlineStr"/>
      <c r="C443" s="25" t="inlineStr"/>
      <c r="D443" s="25" t="inlineStr">
        <is>
          <t>Total Water (BBLs)</t>
        </is>
      </c>
      <c r="E443" s="23" t="inlineStr">
        <is>
          <t>L</t>
        </is>
      </c>
      <c r="F443" s="26">
        <f>'Daily Inventory (Live Formulas)'!L176+'Daily Inventory (Live Formulas)'!L177+'Daily Inventory (Live Formulas)'!L178+'Daily Inventory (Live Formulas)'!L179+'Daily Inventory (Live Formulas)'!L180+'Daily Inventory (Live Formulas)'!L181+'Daily Inventory (Live Formulas)'!L182+'Daily Inventory (Live Formulas)'!L183+'Daily Inventory (Live Formulas)'!L184+'Daily Inventory (Live Formulas)'!L185+'Daily Inventory (Live Formulas)'!L186+'Daily Inventory (Live Formulas)'!L187+'Daily Inventory (Live Formulas)'!L188+'Daily Inventory (Live Formulas)'!L189+'Daily Inventory (Live Formulas)'!L190+'Daily Inventory (Live Formulas)'!L191+'Daily Inventory (Live Formulas)'!L192</f>
        <v/>
      </c>
      <c r="G443" s="27" t="inlineStr">
        <is>
          <t>SUM</t>
        </is>
      </c>
      <c r="H443" s="25" t="inlineStr"/>
    </row>
    <row r="444" ht="22" customHeight="1">
      <c r="A444" s="28" t="inlineStr"/>
      <c r="B444" s="29" t="inlineStr"/>
      <c r="C444" s="25" t="inlineStr"/>
      <c r="D444" s="25" t="inlineStr">
        <is>
          <t>BSW Feet</t>
        </is>
      </c>
      <c r="E444" s="23" t="inlineStr">
        <is>
          <t>M</t>
        </is>
      </c>
      <c r="F444" s="32">
        <f>"'Daily Inventory (Live Formulas)'!M176 — Raw data, no formula"</f>
        <v/>
      </c>
      <c r="G444" s="33" t="inlineStr">
        <is>
          <t>Raw Data</t>
        </is>
      </c>
      <c r="H444" s="25" t="inlineStr"/>
    </row>
    <row r="445" ht="22" customHeight="1">
      <c r="A445" s="28" t="inlineStr"/>
      <c r="B445" s="29" t="inlineStr"/>
      <c r="C445" s="25" t="inlineStr"/>
      <c r="D445" s="25" t="inlineStr">
        <is>
          <t>Volume of Available Product (BBLs)</t>
        </is>
      </c>
      <c r="E445" s="23" t="inlineStr">
        <is>
          <t>N</t>
        </is>
      </c>
      <c r="F445" s="26">
        <f>'Daily Inventory (Live Formulas)'!N176+'Daily Inventory (Live Formulas)'!N177+'Daily Inventory (Live Formulas)'!N178+'Daily Inventory (Live Formulas)'!N179+'Daily Inventory (Live Formulas)'!N180+'Daily Inventory (Live Formulas)'!N181+'Daily Inventory (Live Formulas)'!N182+'Daily Inventory (Live Formulas)'!N183+'Daily Inventory (Live Formulas)'!N184+'Daily Inventory (Live Formulas)'!N185+'Daily Inventory (Live Formulas)'!N186+'Daily Inventory (Live Formulas)'!N187+'Daily Inventory (Live Formulas)'!N188+'Daily Inventory (Live Formulas)'!N189+'Daily Inventory (Live Formulas)'!N190+'Daily Inventory (Live Formulas)'!N191+'Daily Inventory (Live Formulas)'!N192</f>
        <v/>
      </c>
      <c r="G445" s="27" t="inlineStr">
        <is>
          <t>SUM</t>
        </is>
      </c>
      <c r="H445" s="25" t="inlineStr"/>
    </row>
    <row r="446" ht="22" customHeight="1">
      <c r="A446" s="28" t="inlineStr"/>
      <c r="B446" s="29" t="inlineStr"/>
      <c r="C446" s="25" t="inlineStr"/>
      <c r="D446" s="25" t="inlineStr">
        <is>
          <t>Remaining Capacity (BBLs)</t>
        </is>
      </c>
      <c r="E446" s="23" t="inlineStr">
        <is>
          <t>O</t>
        </is>
      </c>
      <c r="F446" s="26">
        <f>'Daily Inventory (Live Formulas)'!O176+'Daily Inventory (Live Formulas)'!O177+'Daily Inventory (Live Formulas)'!O178+'Daily Inventory (Live Formulas)'!O179+'Daily Inventory (Live Formulas)'!O180+'Daily Inventory (Live Formulas)'!O181+'Daily Inventory (Live Formulas)'!O182+'Daily Inventory (Live Formulas)'!O183+'Daily Inventory (Live Formulas)'!O184+'Daily Inventory (Live Formulas)'!O185+'Daily Inventory (Live Formulas)'!O186+'Daily Inventory (Live Formulas)'!O187+'Daily Inventory (Live Formulas)'!O188+'Daily Inventory (Live Formulas)'!O189+'Daily Inventory (Live Formulas)'!O190+'Daily Inventory (Live Formulas)'!O191+'Daily Inventory (Live Formulas)'!O192</f>
        <v/>
      </c>
      <c r="G446" s="27" t="inlineStr">
        <is>
          <t>SUM</t>
        </is>
      </c>
      <c r="H446" s="25" t="inlineStr"/>
    </row>
    <row r="447" ht="22" customHeight="1">
      <c r="A447" s="28" t="inlineStr"/>
      <c r="B447" s="29" t="inlineStr"/>
      <c r="C447" s="25" t="inlineStr"/>
      <c r="D447" s="25" t="inlineStr">
        <is>
          <t>Inventory Change Net Vol (BBLs)</t>
        </is>
      </c>
      <c r="E447" s="23" t="inlineStr">
        <is>
          <t>P</t>
        </is>
      </c>
      <c r="F447" s="26">
        <f>'Daily Inventory (Live Formulas)'!P176+'Daily Inventory (Live Formulas)'!P177+'Daily Inventory (Live Formulas)'!P178+'Daily Inventory (Live Formulas)'!P179+'Daily Inventory (Live Formulas)'!P180+'Daily Inventory (Live Formulas)'!P181+'Daily Inventory (Live Formulas)'!P182+'Daily Inventory (Live Formulas)'!P183+'Daily Inventory (Live Formulas)'!P184+'Daily Inventory (Live Formulas)'!P185+'Daily Inventory (Live Formulas)'!P186+'Daily Inventory (Live Formulas)'!P187+'Daily Inventory (Live Formulas)'!P188+'Daily Inventory (Live Formulas)'!P189+'Daily Inventory (Live Formulas)'!P190+'Daily Inventory (Live Formulas)'!P191+'Daily Inventory (Live Formulas)'!P192</f>
        <v/>
      </c>
      <c r="G447" s="27" t="inlineStr">
        <is>
          <t>SUM</t>
        </is>
      </c>
      <c r="H447" s="25" t="inlineStr"/>
    </row>
    <row r="448" ht="22" customHeight="1">
      <c r="A448" s="7" t="n">
        <v>38</v>
      </c>
      <c r="B448" s="5" t="inlineStr">
        <is>
          <t>Acc_SourNaph</t>
        </is>
      </c>
      <c r="C448" s="6" t="inlineStr">
        <is>
          <t>Sour Naphtha</t>
        </is>
      </c>
      <c r="D448" s="6" t="inlineStr">
        <is>
          <t>Opening Net Volume (BBLs)</t>
        </is>
      </c>
      <c r="E448" s="7" t="inlineStr">
        <is>
          <t>E</t>
        </is>
      </c>
      <c r="F448" s="26">
        <f>'Daily Inventory (Live Formulas)'!E195+'Daily Inventory (Live Formulas)'!E196+'Daily Inventory (Live Formulas)'!E197+'Daily Inventory (Live Formulas)'!E198</f>
        <v/>
      </c>
      <c r="G448" s="27" t="inlineStr">
        <is>
          <t>SUM</t>
        </is>
      </c>
      <c r="H448" s="6" t="inlineStr">
        <is>
          <t>TK681, TK90, TK91, TK969</t>
        </is>
      </c>
    </row>
    <row r="449" ht="22" customHeight="1">
      <c r="A449" s="34" t="inlineStr"/>
      <c r="B449" s="4" t="inlineStr"/>
      <c r="C449" s="6" t="inlineStr"/>
      <c r="D449" s="6" t="inlineStr">
        <is>
          <t>Opening Gravity</t>
        </is>
      </c>
      <c r="E449" s="7" t="inlineStr">
        <is>
          <t>F</t>
        </is>
      </c>
      <c r="F449" s="30">
        <f>AVERAGE('Daily Inventory (Live Formulas)'!F195,'Daily Inventory (Live Formulas)'!F196,'Daily Inventory (Live Formulas)'!F197,'Daily Inventory (Live Formulas)'!F198)</f>
        <v/>
      </c>
      <c r="G449" s="31" t="inlineStr">
        <is>
          <t>AVERAGE</t>
        </is>
      </c>
      <c r="H449" s="6" t="inlineStr"/>
    </row>
    <row r="450" ht="22" customHeight="1">
      <c r="A450" s="34" t="inlineStr"/>
      <c r="B450" s="4" t="inlineStr"/>
      <c r="C450" s="6" t="inlineStr"/>
      <c r="D450" s="6" t="inlineStr">
        <is>
          <t>Closing Net Volume (BBLs)</t>
        </is>
      </c>
      <c r="E450" s="7" t="inlineStr">
        <is>
          <t>G</t>
        </is>
      </c>
      <c r="F450" s="26">
        <f>'Daily Inventory (Live Formulas)'!G195+'Daily Inventory (Live Formulas)'!G196+'Daily Inventory (Live Formulas)'!G197+'Daily Inventory (Live Formulas)'!G198</f>
        <v/>
      </c>
      <c r="G450" s="27" t="inlineStr">
        <is>
          <t>SUM</t>
        </is>
      </c>
      <c r="H450" s="6" t="inlineStr"/>
    </row>
    <row r="451" ht="22" customHeight="1">
      <c r="A451" s="34" t="inlineStr"/>
      <c r="B451" s="4" t="inlineStr"/>
      <c r="C451" s="6" t="inlineStr"/>
      <c r="D451" s="6" t="inlineStr">
        <is>
          <t>Closing Gross Volume (BBLs)</t>
        </is>
      </c>
      <c r="E451" s="7" t="inlineStr">
        <is>
          <t>H</t>
        </is>
      </c>
      <c r="F451" s="26">
        <f>'Daily Inventory (Live Formulas)'!H195+'Daily Inventory (Live Formulas)'!H196+'Daily Inventory (Live Formulas)'!H197+'Daily Inventory (Live Formulas)'!H198</f>
        <v/>
      </c>
      <c r="G451" s="27" t="inlineStr">
        <is>
          <t>SUM</t>
        </is>
      </c>
      <c r="H451" s="6" t="inlineStr"/>
    </row>
    <row r="452" ht="22" customHeight="1">
      <c r="A452" s="34" t="inlineStr"/>
      <c r="B452" s="4" t="inlineStr"/>
      <c r="C452" s="6" t="inlineStr"/>
      <c r="D452" s="6" t="inlineStr">
        <is>
          <t>Level Feet</t>
        </is>
      </c>
      <c r="E452" s="7" t="inlineStr">
        <is>
          <t>I</t>
        </is>
      </c>
      <c r="F452" s="32">
        <f>"'Daily Inventory (Live Formulas)'!I195 — Raw data, no formula"</f>
        <v/>
      </c>
      <c r="G452" s="33" t="inlineStr">
        <is>
          <t>Raw Data</t>
        </is>
      </c>
      <c r="H452" s="6" t="inlineStr"/>
    </row>
    <row r="453" ht="22" customHeight="1">
      <c r="A453" s="34" t="inlineStr"/>
      <c r="B453" s="4" t="inlineStr"/>
      <c r="C453" s="6" t="inlineStr"/>
      <c r="D453" s="6" t="inlineStr">
        <is>
          <t>Gravity (Closing)</t>
        </is>
      </c>
      <c r="E453" s="7" t="inlineStr">
        <is>
          <t>J</t>
        </is>
      </c>
      <c r="F453" s="30">
        <f>AVERAGE('Daily Inventory (Live Formulas)'!J195,'Daily Inventory (Live Formulas)'!J196,'Daily Inventory (Live Formulas)'!J197,'Daily Inventory (Live Formulas)'!J198)</f>
        <v/>
      </c>
      <c r="G453" s="31" t="inlineStr">
        <is>
          <t>AVERAGE</t>
        </is>
      </c>
      <c r="H453" s="6" t="inlineStr"/>
    </row>
    <row r="454" ht="22" customHeight="1">
      <c r="A454" s="34" t="inlineStr"/>
      <c r="B454" s="4" t="inlineStr"/>
      <c r="C454" s="6" t="inlineStr"/>
      <c r="D454" s="6" t="inlineStr">
        <is>
          <t>Temperature</t>
        </is>
      </c>
      <c r="E454" s="7" t="inlineStr">
        <is>
          <t>K</t>
        </is>
      </c>
      <c r="F454" s="32">
        <f>"'Daily Inventory (Live Formulas)'!K195 — Raw data, no formula"</f>
        <v/>
      </c>
      <c r="G454" s="33" t="inlineStr">
        <is>
          <t>Raw Data</t>
        </is>
      </c>
      <c r="H454" s="6" t="inlineStr"/>
    </row>
    <row r="455" ht="22" customHeight="1">
      <c r="A455" s="34" t="inlineStr"/>
      <c r="B455" s="4" t="inlineStr"/>
      <c r="C455" s="6" t="inlineStr"/>
      <c r="D455" s="6" t="inlineStr">
        <is>
          <t>Total Water (BBLs)</t>
        </is>
      </c>
      <c r="E455" s="7" t="inlineStr">
        <is>
          <t>L</t>
        </is>
      </c>
      <c r="F455" s="26">
        <f>'Daily Inventory (Live Formulas)'!L195+'Daily Inventory (Live Formulas)'!L196+'Daily Inventory (Live Formulas)'!L197+'Daily Inventory (Live Formulas)'!L198</f>
        <v/>
      </c>
      <c r="G455" s="27" t="inlineStr">
        <is>
          <t>SUM</t>
        </is>
      </c>
      <c r="H455" s="6" t="inlineStr"/>
    </row>
    <row r="456" ht="22" customHeight="1">
      <c r="A456" s="34" t="inlineStr"/>
      <c r="B456" s="4" t="inlineStr"/>
      <c r="C456" s="6" t="inlineStr"/>
      <c r="D456" s="6" t="inlineStr">
        <is>
          <t>BSW Feet</t>
        </is>
      </c>
      <c r="E456" s="7" t="inlineStr">
        <is>
          <t>M</t>
        </is>
      </c>
      <c r="F456" s="32">
        <f>"'Daily Inventory (Live Formulas)'!M195 — Raw data, no formula"</f>
        <v/>
      </c>
      <c r="G456" s="33" t="inlineStr">
        <is>
          <t>Raw Data</t>
        </is>
      </c>
      <c r="H456" s="6" t="inlineStr"/>
    </row>
    <row r="457" ht="22" customHeight="1">
      <c r="A457" s="34" t="inlineStr"/>
      <c r="B457" s="4" t="inlineStr"/>
      <c r="C457" s="6" t="inlineStr"/>
      <c r="D457" s="6" t="inlineStr">
        <is>
          <t>Volume of Available Product (BBLs)</t>
        </is>
      </c>
      <c r="E457" s="7" t="inlineStr">
        <is>
          <t>N</t>
        </is>
      </c>
      <c r="F457" s="26">
        <f>'Daily Inventory (Live Formulas)'!N195+'Daily Inventory (Live Formulas)'!N196+'Daily Inventory (Live Formulas)'!N197+'Daily Inventory (Live Formulas)'!N198</f>
        <v/>
      </c>
      <c r="G457" s="27" t="inlineStr">
        <is>
          <t>SUM</t>
        </is>
      </c>
      <c r="H457" s="6" t="inlineStr"/>
    </row>
    <row r="458" ht="22" customHeight="1">
      <c r="A458" s="34" t="inlineStr"/>
      <c r="B458" s="4" t="inlineStr"/>
      <c r="C458" s="6" t="inlineStr"/>
      <c r="D458" s="6" t="inlineStr">
        <is>
          <t>Remaining Capacity (BBLs)</t>
        </is>
      </c>
      <c r="E458" s="7" t="inlineStr">
        <is>
          <t>O</t>
        </is>
      </c>
      <c r="F458" s="26">
        <f>'Daily Inventory (Live Formulas)'!O195+'Daily Inventory (Live Formulas)'!O196+'Daily Inventory (Live Formulas)'!O197+'Daily Inventory (Live Formulas)'!O198</f>
        <v/>
      </c>
      <c r="G458" s="27" t="inlineStr">
        <is>
          <t>SUM</t>
        </is>
      </c>
      <c r="H458" s="6" t="inlineStr"/>
    </row>
    <row r="459" ht="22" customHeight="1">
      <c r="A459" s="34" t="inlineStr"/>
      <c r="B459" s="4" t="inlineStr"/>
      <c r="C459" s="6" t="inlineStr"/>
      <c r="D459" s="6" t="inlineStr">
        <is>
          <t>Inventory Change Net Vol (BBLs)</t>
        </is>
      </c>
      <c r="E459" s="7" t="inlineStr">
        <is>
          <t>P</t>
        </is>
      </c>
      <c r="F459" s="26">
        <f>'Daily Inventory (Live Formulas)'!P195+'Daily Inventory (Live Formulas)'!P196+'Daily Inventory (Live Formulas)'!P197+'Daily Inventory (Live Formulas)'!P198</f>
        <v/>
      </c>
      <c r="G459" s="27" t="inlineStr">
        <is>
          <t>SUM</t>
        </is>
      </c>
      <c r="H459" s="6" t="inlineStr"/>
    </row>
    <row r="460" ht="22" customHeight="1">
      <c r="A460" s="23" t="n">
        <v>39</v>
      </c>
      <c r="B460" s="24" t="inlineStr">
        <is>
          <t>Acc_SRNaphtha</t>
        </is>
      </c>
      <c r="C460" s="25" t="inlineStr">
        <is>
          <t>Straight Run Naphtha</t>
        </is>
      </c>
      <c r="D460" s="25" t="inlineStr">
        <is>
          <t>Opening Net Volume (BBLs)</t>
        </is>
      </c>
      <c r="E460" s="23" t="inlineStr">
        <is>
          <t>E</t>
        </is>
      </c>
      <c r="F460" s="26">
        <f>'Daily Inventory (Live Formulas)'!E201+'Daily Inventory (Live Formulas)'!E202+'Daily Inventory (Live Formulas)'!E203</f>
        <v/>
      </c>
      <c r="G460" s="27" t="inlineStr">
        <is>
          <t>SUM</t>
        </is>
      </c>
      <c r="H460" s="25" t="inlineStr">
        <is>
          <t>TK74, TK75, TK955</t>
        </is>
      </c>
    </row>
    <row r="461" ht="22" customHeight="1">
      <c r="A461" s="28" t="inlineStr"/>
      <c r="B461" s="29" t="inlineStr"/>
      <c r="C461" s="25" t="inlineStr"/>
      <c r="D461" s="25" t="inlineStr">
        <is>
          <t>Opening Gravity</t>
        </is>
      </c>
      <c r="E461" s="23" t="inlineStr">
        <is>
          <t>F</t>
        </is>
      </c>
      <c r="F461" s="30">
        <f>AVERAGE('Daily Inventory (Live Formulas)'!F201,'Daily Inventory (Live Formulas)'!F202,'Daily Inventory (Live Formulas)'!F203)</f>
        <v/>
      </c>
      <c r="G461" s="31" t="inlineStr">
        <is>
          <t>AVERAGE</t>
        </is>
      </c>
      <c r="H461" s="25" t="inlineStr"/>
    </row>
    <row r="462" ht="22" customHeight="1">
      <c r="A462" s="28" t="inlineStr"/>
      <c r="B462" s="29" t="inlineStr"/>
      <c r="C462" s="25" t="inlineStr"/>
      <c r="D462" s="25" t="inlineStr">
        <is>
          <t>Closing Net Volume (BBLs)</t>
        </is>
      </c>
      <c r="E462" s="23" t="inlineStr">
        <is>
          <t>G</t>
        </is>
      </c>
      <c r="F462" s="26">
        <f>'Daily Inventory (Live Formulas)'!G201+'Daily Inventory (Live Formulas)'!G202+'Daily Inventory (Live Formulas)'!G203</f>
        <v/>
      </c>
      <c r="G462" s="27" t="inlineStr">
        <is>
          <t>SUM</t>
        </is>
      </c>
      <c r="H462" s="25" t="inlineStr"/>
    </row>
    <row r="463" ht="22" customHeight="1">
      <c r="A463" s="28" t="inlineStr"/>
      <c r="B463" s="29" t="inlineStr"/>
      <c r="C463" s="25" t="inlineStr"/>
      <c r="D463" s="25" t="inlineStr">
        <is>
          <t>Closing Gross Volume (BBLs)</t>
        </is>
      </c>
      <c r="E463" s="23" t="inlineStr">
        <is>
          <t>H</t>
        </is>
      </c>
      <c r="F463" s="26">
        <f>'Daily Inventory (Live Formulas)'!H201+'Daily Inventory (Live Formulas)'!H202+'Daily Inventory (Live Formulas)'!H203</f>
        <v/>
      </c>
      <c r="G463" s="27" t="inlineStr">
        <is>
          <t>SUM</t>
        </is>
      </c>
      <c r="H463" s="25" t="inlineStr"/>
    </row>
    <row r="464" ht="22" customHeight="1">
      <c r="A464" s="28" t="inlineStr"/>
      <c r="B464" s="29" t="inlineStr"/>
      <c r="C464" s="25" t="inlineStr"/>
      <c r="D464" s="25" t="inlineStr">
        <is>
          <t>Level Feet</t>
        </is>
      </c>
      <c r="E464" s="23" t="inlineStr">
        <is>
          <t>I</t>
        </is>
      </c>
      <c r="F464" s="32">
        <f>"'Daily Inventory (Live Formulas)'!I201 — Raw data, no formula"</f>
        <v/>
      </c>
      <c r="G464" s="33" t="inlineStr">
        <is>
          <t>Raw Data</t>
        </is>
      </c>
      <c r="H464" s="25" t="inlineStr"/>
    </row>
    <row r="465" ht="22" customHeight="1">
      <c r="A465" s="28" t="inlineStr"/>
      <c r="B465" s="29" t="inlineStr"/>
      <c r="C465" s="25" t="inlineStr"/>
      <c r="D465" s="25" t="inlineStr">
        <is>
          <t>Gravity (Closing)</t>
        </is>
      </c>
      <c r="E465" s="23" t="inlineStr">
        <is>
          <t>J</t>
        </is>
      </c>
      <c r="F465" s="30">
        <f>AVERAGE('Daily Inventory (Live Formulas)'!J201,'Daily Inventory (Live Formulas)'!J202,'Daily Inventory (Live Formulas)'!J203)</f>
        <v/>
      </c>
      <c r="G465" s="31" t="inlineStr">
        <is>
          <t>AVERAGE</t>
        </is>
      </c>
      <c r="H465" s="25" t="inlineStr"/>
    </row>
    <row r="466" ht="22" customHeight="1">
      <c r="A466" s="28" t="inlineStr"/>
      <c r="B466" s="29" t="inlineStr"/>
      <c r="C466" s="25" t="inlineStr"/>
      <c r="D466" s="25" t="inlineStr">
        <is>
          <t>Temperature</t>
        </is>
      </c>
      <c r="E466" s="23" t="inlineStr">
        <is>
          <t>K</t>
        </is>
      </c>
      <c r="F466" s="32">
        <f>"'Daily Inventory (Live Formulas)'!K201 — Raw data, no formula"</f>
        <v/>
      </c>
      <c r="G466" s="33" t="inlineStr">
        <is>
          <t>Raw Data</t>
        </is>
      </c>
      <c r="H466" s="25" t="inlineStr"/>
    </row>
    <row r="467" ht="22" customHeight="1">
      <c r="A467" s="28" t="inlineStr"/>
      <c r="B467" s="29" t="inlineStr"/>
      <c r="C467" s="25" t="inlineStr"/>
      <c r="D467" s="25" t="inlineStr">
        <is>
          <t>Total Water (BBLs)</t>
        </is>
      </c>
      <c r="E467" s="23" t="inlineStr">
        <is>
          <t>L</t>
        </is>
      </c>
      <c r="F467" s="26">
        <f>'Daily Inventory (Live Formulas)'!L201+'Daily Inventory (Live Formulas)'!L202+'Daily Inventory (Live Formulas)'!L203</f>
        <v/>
      </c>
      <c r="G467" s="27" t="inlineStr">
        <is>
          <t>SUM</t>
        </is>
      </c>
      <c r="H467" s="25" t="inlineStr"/>
    </row>
    <row r="468" ht="22" customHeight="1">
      <c r="A468" s="28" t="inlineStr"/>
      <c r="B468" s="29" t="inlineStr"/>
      <c r="C468" s="25" t="inlineStr"/>
      <c r="D468" s="25" t="inlineStr">
        <is>
          <t>BSW Feet</t>
        </is>
      </c>
      <c r="E468" s="23" t="inlineStr">
        <is>
          <t>M</t>
        </is>
      </c>
      <c r="F468" s="32">
        <f>"'Daily Inventory (Live Formulas)'!M201 — Raw data, no formula"</f>
        <v/>
      </c>
      <c r="G468" s="33" t="inlineStr">
        <is>
          <t>Raw Data</t>
        </is>
      </c>
      <c r="H468" s="25" t="inlineStr"/>
    </row>
    <row r="469" ht="22" customHeight="1">
      <c r="A469" s="28" t="inlineStr"/>
      <c r="B469" s="29" t="inlineStr"/>
      <c r="C469" s="25" t="inlineStr"/>
      <c r="D469" s="25" t="inlineStr">
        <is>
          <t>Volume of Available Product (BBLs)</t>
        </is>
      </c>
      <c r="E469" s="23" t="inlineStr">
        <is>
          <t>N</t>
        </is>
      </c>
      <c r="F469" s="26">
        <f>'Daily Inventory (Live Formulas)'!N201+'Daily Inventory (Live Formulas)'!N202+'Daily Inventory (Live Formulas)'!N203</f>
        <v/>
      </c>
      <c r="G469" s="27" t="inlineStr">
        <is>
          <t>SUM</t>
        </is>
      </c>
      <c r="H469" s="25" t="inlineStr"/>
    </row>
    <row r="470" ht="22" customHeight="1">
      <c r="A470" s="28" t="inlineStr"/>
      <c r="B470" s="29" t="inlineStr"/>
      <c r="C470" s="25" t="inlineStr"/>
      <c r="D470" s="25" t="inlineStr">
        <is>
          <t>Remaining Capacity (BBLs)</t>
        </is>
      </c>
      <c r="E470" s="23" t="inlineStr">
        <is>
          <t>O</t>
        </is>
      </c>
      <c r="F470" s="26">
        <f>'Daily Inventory (Live Formulas)'!O201+'Daily Inventory (Live Formulas)'!O202+'Daily Inventory (Live Formulas)'!O203</f>
        <v/>
      </c>
      <c r="G470" s="27" t="inlineStr">
        <is>
          <t>SUM</t>
        </is>
      </c>
      <c r="H470" s="25" t="inlineStr"/>
    </row>
    <row r="471" ht="22" customHeight="1">
      <c r="A471" s="28" t="inlineStr"/>
      <c r="B471" s="29" t="inlineStr"/>
      <c r="C471" s="25" t="inlineStr"/>
      <c r="D471" s="25" t="inlineStr">
        <is>
          <t>Inventory Change Net Vol (BBLs)</t>
        </is>
      </c>
      <c r="E471" s="23" t="inlineStr">
        <is>
          <t>P</t>
        </is>
      </c>
      <c r="F471" s="26">
        <f>'Daily Inventory (Live Formulas)'!P201+'Daily Inventory (Live Formulas)'!P202+'Daily Inventory (Live Formulas)'!P203</f>
        <v/>
      </c>
      <c r="G471" s="27" t="inlineStr">
        <is>
          <t>SUM</t>
        </is>
      </c>
      <c r="H471" s="25" t="inlineStr"/>
    </row>
    <row r="472" ht="22" customHeight="1">
      <c r="A472" s="7" t="n">
        <v>40</v>
      </c>
      <c r="B472" s="5" t="inlineStr">
        <is>
          <t>Acc_SweetNaph</t>
        </is>
      </c>
      <c r="C472" s="6" t="inlineStr">
        <is>
          <t>Sweet Naphtha</t>
        </is>
      </c>
      <c r="D472" s="6" t="inlineStr">
        <is>
          <t>Opening Net Volume (BBLs)</t>
        </is>
      </c>
      <c r="E472" s="7" t="inlineStr">
        <is>
          <t>E</t>
        </is>
      </c>
      <c r="F472" s="26">
        <f>'Daily Inventory (Live Formulas)'!E206</f>
        <v/>
      </c>
      <c r="G472" s="27" t="inlineStr">
        <is>
          <t>SUM</t>
        </is>
      </c>
      <c r="H472" s="6" t="inlineStr">
        <is>
          <t>TK67</t>
        </is>
      </c>
    </row>
    <row r="473" ht="22" customHeight="1">
      <c r="A473" s="34" t="inlineStr"/>
      <c r="B473" s="4" t="inlineStr"/>
      <c r="C473" s="6" t="inlineStr"/>
      <c r="D473" s="6" t="inlineStr">
        <is>
          <t>Opening Gravity</t>
        </is>
      </c>
      <c r="E473" s="7" t="inlineStr">
        <is>
          <t>F</t>
        </is>
      </c>
      <c r="F473" s="30">
        <f>AVERAGE('Daily Inventory (Live Formulas)'!F206)</f>
        <v/>
      </c>
      <c r="G473" s="31" t="inlineStr">
        <is>
          <t>AVERAGE</t>
        </is>
      </c>
      <c r="H473" s="6" t="inlineStr"/>
    </row>
    <row r="474" ht="22" customHeight="1">
      <c r="A474" s="34" t="inlineStr"/>
      <c r="B474" s="4" t="inlineStr"/>
      <c r="C474" s="6" t="inlineStr"/>
      <c r="D474" s="6" t="inlineStr">
        <is>
          <t>Closing Net Volume (BBLs)</t>
        </is>
      </c>
      <c r="E474" s="7" t="inlineStr">
        <is>
          <t>G</t>
        </is>
      </c>
      <c r="F474" s="26">
        <f>'Daily Inventory (Live Formulas)'!G206</f>
        <v/>
      </c>
      <c r="G474" s="27" t="inlineStr">
        <is>
          <t>SUM</t>
        </is>
      </c>
      <c r="H474" s="6" t="inlineStr"/>
    </row>
    <row r="475" ht="22" customHeight="1">
      <c r="A475" s="34" t="inlineStr"/>
      <c r="B475" s="4" t="inlineStr"/>
      <c r="C475" s="6" t="inlineStr"/>
      <c r="D475" s="6" t="inlineStr">
        <is>
          <t>Closing Gross Volume (BBLs)</t>
        </is>
      </c>
      <c r="E475" s="7" t="inlineStr">
        <is>
          <t>H</t>
        </is>
      </c>
      <c r="F475" s="26">
        <f>'Daily Inventory (Live Formulas)'!H206</f>
        <v/>
      </c>
      <c r="G475" s="27" t="inlineStr">
        <is>
          <t>SUM</t>
        </is>
      </c>
      <c r="H475" s="6" t="inlineStr"/>
    </row>
    <row r="476" ht="22" customHeight="1">
      <c r="A476" s="34" t="inlineStr"/>
      <c r="B476" s="4" t="inlineStr"/>
      <c r="C476" s="6" t="inlineStr"/>
      <c r="D476" s="6" t="inlineStr">
        <is>
          <t>Level Feet</t>
        </is>
      </c>
      <c r="E476" s="7" t="inlineStr">
        <is>
          <t>I</t>
        </is>
      </c>
      <c r="F476" s="32">
        <f>"'Daily Inventory (Live Formulas)'!I206 — Raw data, no formula"</f>
        <v/>
      </c>
      <c r="G476" s="33" t="inlineStr">
        <is>
          <t>Raw Data</t>
        </is>
      </c>
      <c r="H476" s="6" t="inlineStr"/>
    </row>
    <row r="477" ht="22" customHeight="1">
      <c r="A477" s="34" t="inlineStr"/>
      <c r="B477" s="4" t="inlineStr"/>
      <c r="C477" s="6" t="inlineStr"/>
      <c r="D477" s="6" t="inlineStr">
        <is>
          <t>Gravity (Closing)</t>
        </is>
      </c>
      <c r="E477" s="7" t="inlineStr">
        <is>
          <t>J</t>
        </is>
      </c>
      <c r="F477" s="30">
        <f>AVERAGE('Daily Inventory (Live Formulas)'!J206)</f>
        <v/>
      </c>
      <c r="G477" s="31" t="inlineStr">
        <is>
          <t>AVERAGE</t>
        </is>
      </c>
      <c r="H477" s="6" t="inlineStr"/>
    </row>
    <row r="478" ht="22" customHeight="1">
      <c r="A478" s="34" t="inlineStr"/>
      <c r="B478" s="4" t="inlineStr"/>
      <c r="C478" s="6" t="inlineStr"/>
      <c r="D478" s="6" t="inlineStr">
        <is>
          <t>Temperature</t>
        </is>
      </c>
      <c r="E478" s="7" t="inlineStr">
        <is>
          <t>K</t>
        </is>
      </c>
      <c r="F478" s="32">
        <f>"'Daily Inventory (Live Formulas)'!K206 — Raw data, no formula"</f>
        <v/>
      </c>
      <c r="G478" s="33" t="inlineStr">
        <is>
          <t>Raw Data</t>
        </is>
      </c>
      <c r="H478" s="6" t="inlineStr"/>
    </row>
    <row r="479" ht="22" customHeight="1">
      <c r="A479" s="34" t="inlineStr"/>
      <c r="B479" s="4" t="inlineStr"/>
      <c r="C479" s="6" t="inlineStr"/>
      <c r="D479" s="6" t="inlineStr">
        <is>
          <t>Total Water (BBLs)</t>
        </is>
      </c>
      <c r="E479" s="7" t="inlineStr">
        <is>
          <t>L</t>
        </is>
      </c>
      <c r="F479" s="26">
        <f>'Daily Inventory (Live Formulas)'!L206</f>
        <v/>
      </c>
      <c r="G479" s="27" t="inlineStr">
        <is>
          <t>SUM</t>
        </is>
      </c>
      <c r="H479" s="6" t="inlineStr"/>
    </row>
    <row r="480" ht="22" customHeight="1">
      <c r="A480" s="34" t="inlineStr"/>
      <c r="B480" s="4" t="inlineStr"/>
      <c r="C480" s="6" t="inlineStr"/>
      <c r="D480" s="6" t="inlineStr">
        <is>
          <t>BSW Feet</t>
        </is>
      </c>
      <c r="E480" s="7" t="inlineStr">
        <is>
          <t>M</t>
        </is>
      </c>
      <c r="F480" s="32">
        <f>"'Daily Inventory (Live Formulas)'!M206 — Raw data, no formula"</f>
        <v/>
      </c>
      <c r="G480" s="33" t="inlineStr">
        <is>
          <t>Raw Data</t>
        </is>
      </c>
      <c r="H480" s="6" t="inlineStr"/>
    </row>
    <row r="481" ht="22" customHeight="1">
      <c r="A481" s="34" t="inlineStr"/>
      <c r="B481" s="4" t="inlineStr"/>
      <c r="C481" s="6" t="inlineStr"/>
      <c r="D481" s="6" t="inlineStr">
        <is>
          <t>Volume of Available Product (BBLs)</t>
        </is>
      </c>
      <c r="E481" s="7" t="inlineStr">
        <is>
          <t>N</t>
        </is>
      </c>
      <c r="F481" s="26">
        <f>'Daily Inventory (Live Formulas)'!N206</f>
        <v/>
      </c>
      <c r="G481" s="27" t="inlineStr">
        <is>
          <t>SUM</t>
        </is>
      </c>
      <c r="H481" s="6" t="inlineStr"/>
    </row>
    <row r="482" ht="22" customHeight="1">
      <c r="A482" s="34" t="inlineStr"/>
      <c r="B482" s="4" t="inlineStr"/>
      <c r="C482" s="6" t="inlineStr"/>
      <c r="D482" s="6" t="inlineStr">
        <is>
          <t>Remaining Capacity (BBLs)</t>
        </is>
      </c>
      <c r="E482" s="7" t="inlineStr">
        <is>
          <t>O</t>
        </is>
      </c>
      <c r="F482" s="26">
        <f>'Daily Inventory (Live Formulas)'!O206</f>
        <v/>
      </c>
      <c r="G482" s="27" t="inlineStr">
        <is>
          <t>SUM</t>
        </is>
      </c>
      <c r="H482" s="6" t="inlineStr"/>
    </row>
    <row r="483" ht="22" customHeight="1">
      <c r="A483" s="34" t="inlineStr"/>
      <c r="B483" s="4" t="inlineStr"/>
      <c r="C483" s="6" t="inlineStr"/>
      <c r="D483" s="6" t="inlineStr">
        <is>
          <t>Inventory Change Net Vol (BBLs)</t>
        </is>
      </c>
      <c r="E483" s="7" t="inlineStr">
        <is>
          <t>P</t>
        </is>
      </c>
      <c r="F483" s="26">
        <f>'Daily Inventory (Live Formulas)'!P206</f>
        <v/>
      </c>
      <c r="G483" s="27" t="inlineStr">
        <is>
          <t>SUM</t>
        </is>
      </c>
      <c r="H483" s="6" t="inlineStr"/>
    </row>
    <row r="484" ht="22" customHeight="1">
      <c r="A484" s="23" t="n">
        <v>41</v>
      </c>
      <c r="B484" s="24" t="inlineStr">
        <is>
          <t>Acc_Transmix</t>
        </is>
      </c>
      <c r="C484" s="25" t="inlineStr">
        <is>
          <t>Transmix</t>
        </is>
      </c>
      <c r="D484" s="25" t="inlineStr">
        <is>
          <t>Opening Net Volume (BBLs)</t>
        </is>
      </c>
      <c r="E484" s="23" t="inlineStr">
        <is>
          <t>E</t>
        </is>
      </c>
      <c r="F484" s="26">
        <f>'Daily Inventory (Live Formulas)'!E209+'Daily Inventory (Live Formulas)'!E210+'Daily Inventory (Live Formulas)'!E211+'Daily Inventory (Live Formulas)'!E212</f>
        <v/>
      </c>
      <c r="G484" s="27" t="inlineStr">
        <is>
          <t>SUM</t>
        </is>
      </c>
      <c r="H484" s="25" t="inlineStr">
        <is>
          <t>TK191, TK192, TK29, TK30</t>
        </is>
      </c>
    </row>
    <row r="485" ht="22" customHeight="1">
      <c r="A485" s="28" t="inlineStr"/>
      <c r="B485" s="29" t="inlineStr"/>
      <c r="C485" s="25" t="inlineStr"/>
      <c r="D485" s="25" t="inlineStr">
        <is>
          <t>Opening Gravity</t>
        </is>
      </c>
      <c r="E485" s="23" t="inlineStr">
        <is>
          <t>F</t>
        </is>
      </c>
      <c r="F485" s="30">
        <f>AVERAGE('Daily Inventory (Live Formulas)'!F209,'Daily Inventory (Live Formulas)'!F210,'Daily Inventory (Live Formulas)'!F211,'Daily Inventory (Live Formulas)'!F212)</f>
        <v/>
      </c>
      <c r="G485" s="31" t="inlineStr">
        <is>
          <t>AVERAGE</t>
        </is>
      </c>
      <c r="H485" s="25" t="inlineStr"/>
    </row>
    <row r="486" ht="22" customHeight="1">
      <c r="A486" s="28" t="inlineStr"/>
      <c r="B486" s="29" t="inlineStr"/>
      <c r="C486" s="25" t="inlineStr"/>
      <c r="D486" s="25" t="inlineStr">
        <is>
          <t>Closing Net Volume (BBLs)</t>
        </is>
      </c>
      <c r="E486" s="23" t="inlineStr">
        <is>
          <t>G</t>
        </is>
      </c>
      <c r="F486" s="26">
        <f>'Daily Inventory (Live Formulas)'!G209+'Daily Inventory (Live Formulas)'!G210+'Daily Inventory (Live Formulas)'!G211+'Daily Inventory (Live Formulas)'!G212</f>
        <v/>
      </c>
      <c r="G486" s="27" t="inlineStr">
        <is>
          <t>SUM</t>
        </is>
      </c>
      <c r="H486" s="25" t="inlineStr"/>
    </row>
    <row r="487" ht="22" customHeight="1">
      <c r="A487" s="28" t="inlineStr"/>
      <c r="B487" s="29" t="inlineStr"/>
      <c r="C487" s="25" t="inlineStr"/>
      <c r="D487" s="25" t="inlineStr">
        <is>
          <t>Closing Gross Volume (BBLs)</t>
        </is>
      </c>
      <c r="E487" s="23" t="inlineStr">
        <is>
          <t>H</t>
        </is>
      </c>
      <c r="F487" s="26">
        <f>'Daily Inventory (Live Formulas)'!H209+'Daily Inventory (Live Formulas)'!H210+'Daily Inventory (Live Formulas)'!H211+'Daily Inventory (Live Formulas)'!H212</f>
        <v/>
      </c>
      <c r="G487" s="27" t="inlineStr">
        <is>
          <t>SUM</t>
        </is>
      </c>
      <c r="H487" s="25" t="inlineStr"/>
    </row>
    <row r="488" ht="22" customHeight="1">
      <c r="A488" s="28" t="inlineStr"/>
      <c r="B488" s="29" t="inlineStr"/>
      <c r="C488" s="25" t="inlineStr"/>
      <c r="D488" s="25" t="inlineStr">
        <is>
          <t>Level Feet</t>
        </is>
      </c>
      <c r="E488" s="23" t="inlineStr">
        <is>
          <t>I</t>
        </is>
      </c>
      <c r="F488" s="32">
        <f>"'Daily Inventory (Live Formulas)'!I209 — Raw data, no formula"</f>
        <v/>
      </c>
      <c r="G488" s="33" t="inlineStr">
        <is>
          <t>Raw Data</t>
        </is>
      </c>
      <c r="H488" s="25" t="inlineStr"/>
    </row>
    <row r="489" ht="22" customHeight="1">
      <c r="A489" s="28" t="inlineStr"/>
      <c r="B489" s="29" t="inlineStr"/>
      <c r="C489" s="25" t="inlineStr"/>
      <c r="D489" s="25" t="inlineStr">
        <is>
          <t>Gravity (Closing)</t>
        </is>
      </c>
      <c r="E489" s="23" t="inlineStr">
        <is>
          <t>J</t>
        </is>
      </c>
      <c r="F489" s="30">
        <f>AVERAGE('Daily Inventory (Live Formulas)'!J209,'Daily Inventory (Live Formulas)'!J210,'Daily Inventory (Live Formulas)'!J211,'Daily Inventory (Live Formulas)'!J212)</f>
        <v/>
      </c>
      <c r="G489" s="31" t="inlineStr">
        <is>
          <t>AVERAGE</t>
        </is>
      </c>
      <c r="H489" s="25" t="inlineStr"/>
    </row>
    <row r="490" ht="22" customHeight="1">
      <c r="A490" s="28" t="inlineStr"/>
      <c r="B490" s="29" t="inlineStr"/>
      <c r="C490" s="25" t="inlineStr"/>
      <c r="D490" s="25" t="inlineStr">
        <is>
          <t>Temperature</t>
        </is>
      </c>
      <c r="E490" s="23" t="inlineStr">
        <is>
          <t>K</t>
        </is>
      </c>
      <c r="F490" s="32">
        <f>"'Daily Inventory (Live Formulas)'!K209 — Raw data, no formula"</f>
        <v/>
      </c>
      <c r="G490" s="33" t="inlineStr">
        <is>
          <t>Raw Data</t>
        </is>
      </c>
      <c r="H490" s="25" t="inlineStr"/>
    </row>
    <row r="491" ht="22" customHeight="1">
      <c r="A491" s="28" t="inlineStr"/>
      <c r="B491" s="29" t="inlineStr"/>
      <c r="C491" s="25" t="inlineStr"/>
      <c r="D491" s="25" t="inlineStr">
        <is>
          <t>Total Water (BBLs)</t>
        </is>
      </c>
      <c r="E491" s="23" t="inlineStr">
        <is>
          <t>L</t>
        </is>
      </c>
      <c r="F491" s="26">
        <f>'Daily Inventory (Live Formulas)'!L209+'Daily Inventory (Live Formulas)'!L210+'Daily Inventory (Live Formulas)'!L211+'Daily Inventory (Live Formulas)'!L212</f>
        <v/>
      </c>
      <c r="G491" s="27" t="inlineStr">
        <is>
          <t>SUM</t>
        </is>
      </c>
      <c r="H491" s="25" t="inlineStr"/>
    </row>
    <row r="492" ht="22" customHeight="1">
      <c r="A492" s="28" t="inlineStr"/>
      <c r="B492" s="29" t="inlineStr"/>
      <c r="C492" s="25" t="inlineStr"/>
      <c r="D492" s="25" t="inlineStr">
        <is>
          <t>BSW Feet</t>
        </is>
      </c>
      <c r="E492" s="23" t="inlineStr">
        <is>
          <t>M</t>
        </is>
      </c>
      <c r="F492" s="32">
        <f>"'Daily Inventory (Live Formulas)'!M209 — Raw data, no formula"</f>
        <v/>
      </c>
      <c r="G492" s="33" t="inlineStr">
        <is>
          <t>Raw Data</t>
        </is>
      </c>
      <c r="H492" s="25" t="inlineStr"/>
    </row>
    <row r="493" ht="22" customHeight="1">
      <c r="A493" s="28" t="inlineStr"/>
      <c r="B493" s="29" t="inlineStr"/>
      <c r="C493" s="25" t="inlineStr"/>
      <c r="D493" s="25" t="inlineStr">
        <is>
          <t>Volume of Available Product (BBLs)</t>
        </is>
      </c>
      <c r="E493" s="23" t="inlineStr">
        <is>
          <t>N</t>
        </is>
      </c>
      <c r="F493" s="26">
        <f>'Daily Inventory (Live Formulas)'!N209+'Daily Inventory (Live Formulas)'!N210+'Daily Inventory (Live Formulas)'!N211+'Daily Inventory (Live Formulas)'!N212</f>
        <v/>
      </c>
      <c r="G493" s="27" t="inlineStr">
        <is>
          <t>SUM</t>
        </is>
      </c>
      <c r="H493" s="25" t="inlineStr"/>
    </row>
    <row r="494" ht="22" customHeight="1">
      <c r="A494" s="28" t="inlineStr"/>
      <c r="B494" s="29" t="inlineStr"/>
      <c r="C494" s="25" t="inlineStr"/>
      <c r="D494" s="25" t="inlineStr">
        <is>
          <t>Remaining Capacity (BBLs)</t>
        </is>
      </c>
      <c r="E494" s="23" t="inlineStr">
        <is>
          <t>O</t>
        </is>
      </c>
      <c r="F494" s="26">
        <f>'Daily Inventory (Live Formulas)'!O209+'Daily Inventory (Live Formulas)'!O210+'Daily Inventory (Live Formulas)'!O211+'Daily Inventory (Live Formulas)'!O212</f>
        <v/>
      </c>
      <c r="G494" s="27" t="inlineStr">
        <is>
          <t>SUM</t>
        </is>
      </c>
      <c r="H494" s="25" t="inlineStr"/>
    </row>
    <row r="495" ht="22" customHeight="1">
      <c r="A495" s="28" t="inlineStr"/>
      <c r="B495" s="29" t="inlineStr"/>
      <c r="C495" s="25" t="inlineStr"/>
      <c r="D495" s="25" t="inlineStr">
        <is>
          <t>Inventory Change Net Vol (BBLs)</t>
        </is>
      </c>
      <c r="E495" s="23" t="inlineStr">
        <is>
          <t>P</t>
        </is>
      </c>
      <c r="F495" s="26">
        <f>'Daily Inventory (Live Formulas)'!P209+'Daily Inventory (Live Formulas)'!P210+'Daily Inventory (Live Formulas)'!P211+'Daily Inventory (Live Formulas)'!P212</f>
        <v/>
      </c>
      <c r="G495" s="27" t="inlineStr">
        <is>
          <t>SUM</t>
        </is>
      </c>
      <c r="H495" s="25" t="inlineStr"/>
    </row>
    <row r="496" ht="22" customHeight="1">
      <c r="A496" s="7" t="n">
        <v>42</v>
      </c>
      <c r="B496" s="5" t="inlineStr">
        <is>
          <t>Acc_ULSD2</t>
        </is>
      </c>
      <c r="C496" s="6" t="inlineStr">
        <is>
          <t>ULSD No 2</t>
        </is>
      </c>
      <c r="D496" s="6" t="inlineStr">
        <is>
          <t>Opening Net Volume (BBLs)</t>
        </is>
      </c>
      <c r="E496" s="7" t="inlineStr">
        <is>
          <t>E</t>
        </is>
      </c>
      <c r="F496" s="26">
        <f>'Daily Inventory (Live Formulas)'!E215</f>
        <v/>
      </c>
      <c r="G496" s="27" t="inlineStr">
        <is>
          <t>SUM</t>
        </is>
      </c>
      <c r="H496" s="6" t="inlineStr">
        <is>
          <t>LF_003</t>
        </is>
      </c>
    </row>
    <row r="497" ht="22" customHeight="1">
      <c r="A497" s="34" t="inlineStr"/>
      <c r="B497" s="4" t="inlineStr"/>
      <c r="C497" s="6" t="inlineStr"/>
      <c r="D497" s="6" t="inlineStr">
        <is>
          <t>Opening Gravity</t>
        </is>
      </c>
      <c r="E497" s="7" t="inlineStr">
        <is>
          <t>F</t>
        </is>
      </c>
      <c r="F497" s="30">
        <f>AVERAGE('Daily Inventory (Live Formulas)'!F215)</f>
        <v/>
      </c>
      <c r="G497" s="31" t="inlineStr">
        <is>
          <t>AVERAGE</t>
        </is>
      </c>
      <c r="H497" s="6" t="inlineStr"/>
    </row>
    <row r="498" ht="22" customHeight="1">
      <c r="A498" s="34" t="inlineStr"/>
      <c r="B498" s="4" t="inlineStr"/>
      <c r="C498" s="6" t="inlineStr"/>
      <c r="D498" s="6" t="inlineStr">
        <is>
          <t>Closing Net Volume (BBLs)</t>
        </is>
      </c>
      <c r="E498" s="7" t="inlineStr">
        <is>
          <t>G</t>
        </is>
      </c>
      <c r="F498" s="26">
        <f>'Daily Inventory (Live Formulas)'!G215</f>
        <v/>
      </c>
      <c r="G498" s="27" t="inlineStr">
        <is>
          <t>SUM</t>
        </is>
      </c>
      <c r="H498" s="6" t="inlineStr"/>
    </row>
    <row r="499" ht="22" customHeight="1">
      <c r="A499" s="34" t="inlineStr"/>
      <c r="B499" s="4" t="inlineStr"/>
      <c r="C499" s="6" t="inlineStr"/>
      <c r="D499" s="6" t="inlineStr">
        <is>
          <t>Closing Gross Volume (BBLs)</t>
        </is>
      </c>
      <c r="E499" s="7" t="inlineStr">
        <is>
          <t>H</t>
        </is>
      </c>
      <c r="F499" s="26">
        <f>'Daily Inventory (Live Formulas)'!H215</f>
        <v/>
      </c>
      <c r="G499" s="27" t="inlineStr">
        <is>
          <t>SUM</t>
        </is>
      </c>
      <c r="H499" s="6" t="inlineStr"/>
    </row>
    <row r="500" ht="22" customHeight="1">
      <c r="A500" s="34" t="inlineStr"/>
      <c r="B500" s="4" t="inlineStr"/>
      <c r="C500" s="6" t="inlineStr"/>
      <c r="D500" s="6" t="inlineStr">
        <is>
          <t>Level Feet</t>
        </is>
      </c>
      <c r="E500" s="7" t="inlineStr">
        <is>
          <t>I</t>
        </is>
      </c>
      <c r="F500" s="32">
        <f>"'Daily Inventory (Live Formulas)'!I215 — Raw data, no formula"</f>
        <v/>
      </c>
      <c r="G500" s="33" t="inlineStr">
        <is>
          <t>Raw Data</t>
        </is>
      </c>
      <c r="H500" s="6" t="inlineStr"/>
    </row>
    <row r="501" ht="22" customHeight="1">
      <c r="A501" s="34" t="inlineStr"/>
      <c r="B501" s="4" t="inlineStr"/>
      <c r="C501" s="6" t="inlineStr"/>
      <c r="D501" s="6" t="inlineStr">
        <is>
          <t>Gravity (Closing)</t>
        </is>
      </c>
      <c r="E501" s="7" t="inlineStr">
        <is>
          <t>J</t>
        </is>
      </c>
      <c r="F501" s="30">
        <f>AVERAGE('Daily Inventory (Live Formulas)'!J215)</f>
        <v/>
      </c>
      <c r="G501" s="31" t="inlineStr">
        <is>
          <t>AVERAGE</t>
        </is>
      </c>
      <c r="H501" s="6" t="inlineStr"/>
    </row>
    <row r="502" ht="22" customHeight="1">
      <c r="A502" s="34" t="inlineStr"/>
      <c r="B502" s="4" t="inlineStr"/>
      <c r="C502" s="6" t="inlineStr"/>
      <c r="D502" s="6" t="inlineStr">
        <is>
          <t>Temperature</t>
        </is>
      </c>
      <c r="E502" s="7" t="inlineStr">
        <is>
          <t>K</t>
        </is>
      </c>
      <c r="F502" s="32">
        <f>"'Daily Inventory (Live Formulas)'!K215 — Raw data, no formula"</f>
        <v/>
      </c>
      <c r="G502" s="33" t="inlineStr">
        <is>
          <t>Raw Data</t>
        </is>
      </c>
      <c r="H502" s="6" t="inlineStr"/>
    </row>
    <row r="503" ht="22" customHeight="1">
      <c r="A503" s="34" t="inlineStr"/>
      <c r="B503" s="4" t="inlineStr"/>
      <c r="C503" s="6" t="inlineStr"/>
      <c r="D503" s="6" t="inlineStr">
        <is>
          <t>Total Water (BBLs)</t>
        </is>
      </c>
      <c r="E503" s="7" t="inlineStr">
        <is>
          <t>L</t>
        </is>
      </c>
      <c r="F503" s="26">
        <f>'Daily Inventory (Live Formulas)'!L215</f>
        <v/>
      </c>
      <c r="G503" s="27" t="inlineStr">
        <is>
          <t>SUM</t>
        </is>
      </c>
      <c r="H503" s="6" t="inlineStr"/>
    </row>
    <row r="504" ht="22" customHeight="1">
      <c r="A504" s="34" t="inlineStr"/>
      <c r="B504" s="4" t="inlineStr"/>
      <c r="C504" s="6" t="inlineStr"/>
      <c r="D504" s="6" t="inlineStr">
        <is>
          <t>BSW Feet</t>
        </is>
      </c>
      <c r="E504" s="7" t="inlineStr">
        <is>
          <t>M</t>
        </is>
      </c>
      <c r="F504" s="32">
        <f>"'Daily Inventory (Live Formulas)'!M215 — Raw data, no formula"</f>
        <v/>
      </c>
      <c r="G504" s="33" t="inlineStr">
        <is>
          <t>Raw Data</t>
        </is>
      </c>
      <c r="H504" s="6" t="inlineStr"/>
    </row>
    <row r="505" ht="22" customHeight="1">
      <c r="A505" s="34" t="inlineStr"/>
      <c r="B505" s="4" t="inlineStr"/>
      <c r="C505" s="6" t="inlineStr"/>
      <c r="D505" s="6" t="inlineStr">
        <is>
          <t>Volume of Available Product (BBLs)</t>
        </is>
      </c>
      <c r="E505" s="7" t="inlineStr">
        <is>
          <t>N</t>
        </is>
      </c>
      <c r="F505" s="26">
        <f>'Daily Inventory (Live Formulas)'!N215</f>
        <v/>
      </c>
      <c r="G505" s="27" t="inlineStr">
        <is>
          <t>SUM</t>
        </is>
      </c>
      <c r="H505" s="6" t="inlineStr"/>
    </row>
    <row r="506" ht="22" customHeight="1">
      <c r="A506" s="34" t="inlineStr"/>
      <c r="B506" s="4" t="inlineStr"/>
      <c r="C506" s="6" t="inlineStr"/>
      <c r="D506" s="6" t="inlineStr">
        <is>
          <t>Remaining Capacity (BBLs)</t>
        </is>
      </c>
      <c r="E506" s="7" t="inlineStr">
        <is>
          <t>O</t>
        </is>
      </c>
      <c r="F506" s="26">
        <f>'Daily Inventory (Live Formulas)'!O215</f>
        <v/>
      </c>
      <c r="G506" s="27" t="inlineStr">
        <is>
          <t>SUM</t>
        </is>
      </c>
      <c r="H506" s="6" t="inlineStr"/>
    </row>
    <row r="507" ht="22" customHeight="1">
      <c r="A507" s="34" t="inlineStr"/>
      <c r="B507" s="4" t="inlineStr"/>
      <c r="C507" s="6" t="inlineStr"/>
      <c r="D507" s="6" t="inlineStr">
        <is>
          <t>Inventory Change Net Vol (BBLs)</t>
        </is>
      </c>
      <c r="E507" s="7" t="inlineStr">
        <is>
          <t>P</t>
        </is>
      </c>
      <c r="F507" s="26">
        <f>'Daily Inventory (Live Formulas)'!P215</f>
        <v/>
      </c>
      <c r="G507" s="27" t="inlineStr">
        <is>
          <t>SUM</t>
        </is>
      </c>
      <c r="H507" s="6" t="inlineStr"/>
    </row>
    <row r="508" ht="22" customHeight="1">
      <c r="A508" s="23" t="n">
        <v>43</v>
      </c>
      <c r="B508" s="24" t="inlineStr">
        <is>
          <t>Acc_UnstnchdPropane</t>
        </is>
      </c>
      <c r="C508" s="25" t="inlineStr">
        <is>
          <t>Unstenched Propane</t>
        </is>
      </c>
      <c r="D508" s="25" t="inlineStr">
        <is>
          <t>Opening Net Volume (BBLs)</t>
        </is>
      </c>
      <c r="E508" s="23" t="inlineStr">
        <is>
          <t>E</t>
        </is>
      </c>
      <c r="F508" s="26">
        <f>'Daily Inventory (Live Formulas)'!E218+'Daily Inventory (Live Formulas)'!E219+'Daily Inventory (Live Formulas)'!E220+'Daily Inventory (Live Formulas)'!E221+'Daily Inventory (Live Formulas)'!E222+'Daily Inventory (Live Formulas)'!E223+'Daily Inventory (Live Formulas)'!E224+'Daily Inventory (Live Formulas)'!E225+'Daily Inventory (Live Formulas)'!E226+'Daily Inventory (Live Formulas)'!E227+'Daily Inventory (Live Formulas)'!E228+'Daily Inventory (Live Formulas)'!E229+'Daily Inventory (Live Formulas)'!E230+'Daily Inventory (Live Formulas)'!E231</f>
        <v/>
      </c>
      <c r="G508" s="27" t="inlineStr">
        <is>
          <t>SUM</t>
        </is>
      </c>
      <c r="H508" s="25" t="inlineStr">
        <is>
          <t>TK274, TK275, TK276, TK301, TK302, TK303, TK325, TK326, TK327, TK340, TK341, TK342, TK343, TK354</t>
        </is>
      </c>
    </row>
    <row r="509" ht="22" customHeight="1">
      <c r="A509" s="28" t="inlineStr"/>
      <c r="B509" s="29" t="inlineStr"/>
      <c r="C509" s="25" t="inlineStr"/>
      <c r="D509" s="25" t="inlineStr">
        <is>
          <t>Opening Gravity</t>
        </is>
      </c>
      <c r="E509" s="23" t="inlineStr">
        <is>
          <t>F</t>
        </is>
      </c>
      <c r="F509" s="30">
        <f>AVERAGE('Daily Inventory (Live Formulas)'!F218,'Daily Inventory (Live Formulas)'!F219,'Daily Inventory (Live Formulas)'!F220,'Daily Inventory (Live Formulas)'!F221,'Daily Inventory (Live Formulas)'!F222,'Daily Inventory (Live Formulas)'!F223,'Daily Inventory (Live Formulas)'!F224,'Daily Inventory (Live Formulas)'!F225,'Daily Inventory (Live Formulas)'!F226,'Daily Inventory (Live Formulas)'!F227,'Daily Inventory (Live Formulas)'!F228,'Daily Inventory (Live Formulas)'!F229,'Daily Inventory (Live Formulas)'!F230,'Daily Inventory (Live Formulas)'!F231)</f>
        <v/>
      </c>
      <c r="G509" s="31" t="inlineStr">
        <is>
          <t>AVERAGE</t>
        </is>
      </c>
      <c r="H509" s="25" t="inlineStr"/>
    </row>
    <row r="510" ht="22" customHeight="1">
      <c r="A510" s="28" t="inlineStr"/>
      <c r="B510" s="29" t="inlineStr"/>
      <c r="C510" s="25" t="inlineStr"/>
      <c r="D510" s="25" t="inlineStr">
        <is>
          <t>Closing Net Volume (BBLs)</t>
        </is>
      </c>
      <c r="E510" s="23" t="inlineStr">
        <is>
          <t>G</t>
        </is>
      </c>
      <c r="F510" s="26">
        <f>'Daily Inventory (Live Formulas)'!G218+'Daily Inventory (Live Formulas)'!G219+'Daily Inventory (Live Formulas)'!G220+'Daily Inventory (Live Formulas)'!G221+'Daily Inventory (Live Formulas)'!G222+'Daily Inventory (Live Formulas)'!G223+'Daily Inventory (Live Formulas)'!G224+'Daily Inventory (Live Formulas)'!G225+'Daily Inventory (Live Formulas)'!G226+'Daily Inventory (Live Formulas)'!G227+'Daily Inventory (Live Formulas)'!G228+'Daily Inventory (Live Formulas)'!G229+'Daily Inventory (Live Formulas)'!G230+'Daily Inventory (Live Formulas)'!G231</f>
        <v/>
      </c>
      <c r="G510" s="27" t="inlineStr">
        <is>
          <t>SUM</t>
        </is>
      </c>
      <c r="H510" s="25" t="inlineStr"/>
    </row>
    <row r="511" ht="22" customHeight="1">
      <c r="A511" s="28" t="inlineStr"/>
      <c r="B511" s="29" t="inlineStr"/>
      <c r="C511" s="25" t="inlineStr"/>
      <c r="D511" s="25" t="inlineStr">
        <is>
          <t>Closing Gross Volume (BBLs)</t>
        </is>
      </c>
      <c r="E511" s="23" t="inlineStr">
        <is>
          <t>H</t>
        </is>
      </c>
      <c r="F511" s="26">
        <f>'Daily Inventory (Live Formulas)'!H218+'Daily Inventory (Live Formulas)'!H219+'Daily Inventory (Live Formulas)'!H220+'Daily Inventory (Live Formulas)'!H221+'Daily Inventory (Live Formulas)'!H222+'Daily Inventory (Live Formulas)'!H223+'Daily Inventory (Live Formulas)'!H224+'Daily Inventory (Live Formulas)'!H225+'Daily Inventory (Live Formulas)'!H226+'Daily Inventory (Live Formulas)'!H227+'Daily Inventory (Live Formulas)'!H228+'Daily Inventory (Live Formulas)'!H229+'Daily Inventory (Live Formulas)'!H230+'Daily Inventory (Live Formulas)'!H231</f>
        <v/>
      </c>
      <c r="G511" s="27" t="inlineStr">
        <is>
          <t>SUM</t>
        </is>
      </c>
      <c r="H511" s="25" t="inlineStr"/>
    </row>
    <row r="512" ht="22" customHeight="1">
      <c r="A512" s="28" t="inlineStr"/>
      <c r="B512" s="29" t="inlineStr"/>
      <c r="C512" s="25" t="inlineStr"/>
      <c r="D512" s="25" t="inlineStr">
        <is>
          <t>Level Feet</t>
        </is>
      </c>
      <c r="E512" s="23" t="inlineStr">
        <is>
          <t>I</t>
        </is>
      </c>
      <c r="F512" s="32">
        <f>"'Daily Inventory (Live Formulas)'!I218 — Raw data, no formula"</f>
        <v/>
      </c>
      <c r="G512" s="33" t="inlineStr">
        <is>
          <t>Raw Data</t>
        </is>
      </c>
      <c r="H512" s="25" t="inlineStr"/>
    </row>
    <row r="513" ht="22" customHeight="1">
      <c r="A513" s="28" t="inlineStr"/>
      <c r="B513" s="29" t="inlineStr"/>
      <c r="C513" s="25" t="inlineStr"/>
      <c r="D513" s="25" t="inlineStr">
        <is>
          <t>Gravity (Closing)</t>
        </is>
      </c>
      <c r="E513" s="23" t="inlineStr">
        <is>
          <t>J</t>
        </is>
      </c>
      <c r="F513" s="30">
        <f>AVERAGE('Daily Inventory (Live Formulas)'!J218,'Daily Inventory (Live Formulas)'!J219,'Daily Inventory (Live Formulas)'!J220,'Daily Inventory (Live Formulas)'!J221,'Daily Inventory (Live Formulas)'!J222,'Daily Inventory (Live Formulas)'!J223,'Daily Inventory (Live Formulas)'!J224,'Daily Inventory (Live Formulas)'!J225,'Daily Inventory (Live Formulas)'!J226,'Daily Inventory (Live Formulas)'!J227,'Daily Inventory (Live Formulas)'!J228,'Daily Inventory (Live Formulas)'!J229,'Daily Inventory (Live Formulas)'!J230,'Daily Inventory (Live Formulas)'!J231)</f>
        <v/>
      </c>
      <c r="G513" s="31" t="inlineStr">
        <is>
          <t>AVERAGE</t>
        </is>
      </c>
      <c r="H513" s="25" t="inlineStr"/>
    </row>
    <row r="514" ht="22" customHeight="1">
      <c r="A514" s="28" t="inlineStr"/>
      <c r="B514" s="29" t="inlineStr"/>
      <c r="C514" s="25" t="inlineStr"/>
      <c r="D514" s="25" t="inlineStr">
        <is>
          <t>Temperature</t>
        </is>
      </c>
      <c r="E514" s="23" t="inlineStr">
        <is>
          <t>K</t>
        </is>
      </c>
      <c r="F514" s="32">
        <f>"'Daily Inventory (Live Formulas)'!K218 — Raw data, no formula"</f>
        <v/>
      </c>
      <c r="G514" s="33" t="inlineStr">
        <is>
          <t>Raw Data</t>
        </is>
      </c>
      <c r="H514" s="25" t="inlineStr"/>
    </row>
    <row r="515" ht="22" customHeight="1">
      <c r="A515" s="28" t="inlineStr"/>
      <c r="B515" s="29" t="inlineStr"/>
      <c r="C515" s="25" t="inlineStr"/>
      <c r="D515" s="25" t="inlineStr">
        <is>
          <t>Total Water (BBLs)</t>
        </is>
      </c>
      <c r="E515" s="23" t="inlineStr">
        <is>
          <t>L</t>
        </is>
      </c>
      <c r="F515" s="26">
        <f>'Daily Inventory (Live Formulas)'!L218+'Daily Inventory (Live Formulas)'!L219+'Daily Inventory (Live Formulas)'!L220+'Daily Inventory (Live Formulas)'!L221+'Daily Inventory (Live Formulas)'!L222+'Daily Inventory (Live Formulas)'!L223+'Daily Inventory (Live Formulas)'!L224+'Daily Inventory (Live Formulas)'!L225+'Daily Inventory (Live Formulas)'!L226+'Daily Inventory (Live Formulas)'!L227+'Daily Inventory (Live Formulas)'!L228+'Daily Inventory (Live Formulas)'!L229+'Daily Inventory (Live Formulas)'!L230+'Daily Inventory (Live Formulas)'!L231</f>
        <v/>
      </c>
      <c r="G515" s="27" t="inlineStr">
        <is>
          <t>SUM</t>
        </is>
      </c>
      <c r="H515" s="25" t="inlineStr"/>
    </row>
    <row r="516" ht="22" customHeight="1">
      <c r="A516" s="28" t="inlineStr"/>
      <c r="B516" s="29" t="inlineStr"/>
      <c r="C516" s="25" t="inlineStr"/>
      <c r="D516" s="25" t="inlineStr">
        <is>
          <t>BSW Feet</t>
        </is>
      </c>
      <c r="E516" s="23" t="inlineStr">
        <is>
          <t>M</t>
        </is>
      </c>
      <c r="F516" s="32">
        <f>"'Daily Inventory (Live Formulas)'!M218 — Raw data, no formula"</f>
        <v/>
      </c>
      <c r="G516" s="33" t="inlineStr">
        <is>
          <t>Raw Data</t>
        </is>
      </c>
      <c r="H516" s="25" t="inlineStr"/>
    </row>
    <row r="517" ht="22" customHeight="1">
      <c r="A517" s="28" t="inlineStr"/>
      <c r="B517" s="29" t="inlineStr"/>
      <c r="C517" s="25" t="inlineStr"/>
      <c r="D517" s="25" t="inlineStr">
        <is>
          <t>Volume of Available Product (BBLs)</t>
        </is>
      </c>
      <c r="E517" s="23" t="inlineStr">
        <is>
          <t>N</t>
        </is>
      </c>
      <c r="F517" s="26">
        <f>'Daily Inventory (Live Formulas)'!N218+'Daily Inventory (Live Formulas)'!N219+'Daily Inventory (Live Formulas)'!N220+'Daily Inventory (Live Formulas)'!N221+'Daily Inventory (Live Formulas)'!N222+'Daily Inventory (Live Formulas)'!N223+'Daily Inventory (Live Formulas)'!N224+'Daily Inventory (Live Formulas)'!N225+'Daily Inventory (Live Formulas)'!N226+'Daily Inventory (Live Formulas)'!N227+'Daily Inventory (Live Formulas)'!N228+'Daily Inventory (Live Formulas)'!N229+'Daily Inventory (Live Formulas)'!N230+'Daily Inventory (Live Formulas)'!N231</f>
        <v/>
      </c>
      <c r="G517" s="27" t="inlineStr">
        <is>
          <t>SUM</t>
        </is>
      </c>
      <c r="H517" s="25" t="inlineStr"/>
    </row>
    <row r="518" ht="22" customHeight="1">
      <c r="A518" s="28" t="inlineStr"/>
      <c r="B518" s="29" t="inlineStr"/>
      <c r="C518" s="25" t="inlineStr"/>
      <c r="D518" s="25" t="inlineStr">
        <is>
          <t>Remaining Capacity (BBLs)</t>
        </is>
      </c>
      <c r="E518" s="23" t="inlineStr">
        <is>
          <t>O</t>
        </is>
      </c>
      <c r="F518" s="26">
        <f>'Daily Inventory (Live Formulas)'!O218+'Daily Inventory (Live Formulas)'!O219+'Daily Inventory (Live Formulas)'!O220+'Daily Inventory (Live Formulas)'!O221+'Daily Inventory (Live Formulas)'!O222+'Daily Inventory (Live Formulas)'!O223+'Daily Inventory (Live Formulas)'!O224+'Daily Inventory (Live Formulas)'!O225+'Daily Inventory (Live Formulas)'!O226+'Daily Inventory (Live Formulas)'!O227+'Daily Inventory (Live Formulas)'!O228+'Daily Inventory (Live Formulas)'!O229+'Daily Inventory (Live Formulas)'!O230+'Daily Inventory (Live Formulas)'!O231</f>
        <v/>
      </c>
      <c r="G518" s="27" t="inlineStr">
        <is>
          <t>SUM</t>
        </is>
      </c>
      <c r="H518" s="25" t="inlineStr"/>
    </row>
    <row r="519" ht="22" customHeight="1">
      <c r="A519" s="28" t="inlineStr"/>
      <c r="B519" s="29" t="inlineStr"/>
      <c r="C519" s="25" t="inlineStr"/>
      <c r="D519" s="25" t="inlineStr">
        <is>
          <t>Inventory Change Net Vol (BBLs)</t>
        </is>
      </c>
      <c r="E519" s="23" t="inlineStr">
        <is>
          <t>P</t>
        </is>
      </c>
      <c r="F519" s="26">
        <f>'Daily Inventory (Live Formulas)'!P218+'Daily Inventory (Live Formulas)'!P219+'Daily Inventory (Live Formulas)'!P220+'Daily Inventory (Live Formulas)'!P221+'Daily Inventory (Live Formulas)'!P222+'Daily Inventory (Live Formulas)'!P223+'Daily Inventory (Live Formulas)'!P224+'Daily Inventory (Live Formulas)'!P225+'Daily Inventory (Live Formulas)'!P226+'Daily Inventory (Live Formulas)'!P227+'Daily Inventory (Live Formulas)'!P228+'Daily Inventory (Live Formulas)'!P229+'Daily Inventory (Live Formulas)'!P230+'Daily Inventory (Live Formulas)'!P231</f>
        <v/>
      </c>
      <c r="G519" s="27" t="inlineStr">
        <is>
          <t>SUM</t>
        </is>
      </c>
      <c r="H519" s="25" t="inlineStr"/>
    </row>
    <row r="520" ht="22" customHeight="1">
      <c r="A520" s="7" t="n">
        <v>44</v>
      </c>
      <c r="B520" s="5" t="inlineStr">
        <is>
          <t>H20</t>
        </is>
      </c>
      <c r="C520" s="6" t="inlineStr">
        <is>
          <t>Water</t>
        </is>
      </c>
      <c r="D520" s="6" t="inlineStr">
        <is>
          <t>Opening Net Volume (BBLs)</t>
        </is>
      </c>
      <c r="E520" s="7" t="inlineStr">
        <is>
          <t>E</t>
        </is>
      </c>
      <c r="F520" s="26">
        <f>'Daily Inventory (Live Formulas)'!E234</f>
        <v/>
      </c>
      <c r="G520" s="27" t="inlineStr">
        <is>
          <t>SUM</t>
        </is>
      </c>
      <c r="H520" s="6" t="inlineStr">
        <is>
          <t>TK83</t>
        </is>
      </c>
    </row>
    <row r="521" ht="22" customHeight="1">
      <c r="A521" s="34" t="inlineStr"/>
      <c r="B521" s="4" t="inlineStr"/>
      <c r="C521" s="6" t="inlineStr"/>
      <c r="D521" s="6" t="inlineStr">
        <is>
          <t>Opening Gravity</t>
        </is>
      </c>
      <c r="E521" s="7" t="inlineStr">
        <is>
          <t>F</t>
        </is>
      </c>
      <c r="F521" s="30">
        <f>AVERAGE('Daily Inventory (Live Formulas)'!F234)</f>
        <v/>
      </c>
      <c r="G521" s="31" t="inlineStr">
        <is>
          <t>AVERAGE</t>
        </is>
      </c>
      <c r="H521" s="6" t="inlineStr"/>
    </row>
    <row r="522" ht="22" customHeight="1">
      <c r="A522" s="34" t="inlineStr"/>
      <c r="B522" s="4" t="inlineStr"/>
      <c r="C522" s="6" t="inlineStr"/>
      <c r="D522" s="6" t="inlineStr">
        <is>
          <t>Closing Net Volume (BBLs)</t>
        </is>
      </c>
      <c r="E522" s="7" t="inlineStr">
        <is>
          <t>G</t>
        </is>
      </c>
      <c r="F522" s="26">
        <f>'Daily Inventory (Live Formulas)'!G234</f>
        <v/>
      </c>
      <c r="G522" s="27" t="inlineStr">
        <is>
          <t>SUM</t>
        </is>
      </c>
      <c r="H522" s="6" t="inlineStr"/>
    </row>
    <row r="523" ht="22" customHeight="1">
      <c r="A523" s="34" t="inlineStr"/>
      <c r="B523" s="4" t="inlineStr"/>
      <c r="C523" s="6" t="inlineStr"/>
      <c r="D523" s="6" t="inlineStr">
        <is>
          <t>Closing Gross Volume (BBLs)</t>
        </is>
      </c>
      <c r="E523" s="7" t="inlineStr">
        <is>
          <t>H</t>
        </is>
      </c>
      <c r="F523" s="26">
        <f>'Daily Inventory (Live Formulas)'!H234</f>
        <v/>
      </c>
      <c r="G523" s="27" t="inlineStr">
        <is>
          <t>SUM</t>
        </is>
      </c>
      <c r="H523" s="6" t="inlineStr"/>
    </row>
    <row r="524" ht="22" customHeight="1">
      <c r="A524" s="34" t="inlineStr"/>
      <c r="B524" s="4" t="inlineStr"/>
      <c r="C524" s="6" t="inlineStr"/>
      <c r="D524" s="6" t="inlineStr">
        <is>
          <t>Level Feet</t>
        </is>
      </c>
      <c r="E524" s="7" t="inlineStr">
        <is>
          <t>I</t>
        </is>
      </c>
      <c r="F524" s="32">
        <f>"'Daily Inventory (Live Formulas)'!I234 — Raw data, no formula"</f>
        <v/>
      </c>
      <c r="G524" s="33" t="inlineStr">
        <is>
          <t>Raw Data</t>
        </is>
      </c>
      <c r="H524" s="6" t="inlineStr"/>
    </row>
    <row r="525" ht="22" customHeight="1">
      <c r="A525" s="34" t="inlineStr"/>
      <c r="B525" s="4" t="inlineStr"/>
      <c r="C525" s="6" t="inlineStr"/>
      <c r="D525" s="6" t="inlineStr">
        <is>
          <t>Gravity (Closing)</t>
        </is>
      </c>
      <c r="E525" s="7" t="inlineStr">
        <is>
          <t>J</t>
        </is>
      </c>
      <c r="F525" s="30">
        <f>AVERAGE('Daily Inventory (Live Formulas)'!J234)</f>
        <v/>
      </c>
      <c r="G525" s="31" t="inlineStr">
        <is>
          <t>AVERAGE</t>
        </is>
      </c>
      <c r="H525" s="6" t="inlineStr"/>
    </row>
    <row r="526" ht="22" customHeight="1">
      <c r="A526" s="34" t="inlineStr"/>
      <c r="B526" s="4" t="inlineStr"/>
      <c r="C526" s="6" t="inlineStr"/>
      <c r="D526" s="6" t="inlineStr">
        <is>
          <t>Temperature</t>
        </is>
      </c>
      <c r="E526" s="7" t="inlineStr">
        <is>
          <t>K</t>
        </is>
      </c>
      <c r="F526" s="32">
        <f>"'Daily Inventory (Live Formulas)'!K234 — Raw data, no formula"</f>
        <v/>
      </c>
      <c r="G526" s="33" t="inlineStr">
        <is>
          <t>Raw Data</t>
        </is>
      </c>
      <c r="H526" s="6" t="inlineStr"/>
    </row>
    <row r="527" ht="22" customHeight="1">
      <c r="A527" s="34" t="inlineStr"/>
      <c r="B527" s="4" t="inlineStr"/>
      <c r="C527" s="6" t="inlineStr"/>
      <c r="D527" s="6" t="inlineStr">
        <is>
          <t>Total Water (BBLs)</t>
        </is>
      </c>
      <c r="E527" s="7" t="inlineStr">
        <is>
          <t>L</t>
        </is>
      </c>
      <c r="F527" s="26">
        <f>'Daily Inventory (Live Formulas)'!L234</f>
        <v/>
      </c>
      <c r="G527" s="27" t="inlineStr">
        <is>
          <t>SUM</t>
        </is>
      </c>
      <c r="H527" s="6" t="inlineStr"/>
    </row>
    <row r="528" ht="22" customHeight="1">
      <c r="A528" s="34" t="inlineStr"/>
      <c r="B528" s="4" t="inlineStr"/>
      <c r="C528" s="6" t="inlineStr"/>
      <c r="D528" s="6" t="inlineStr">
        <is>
          <t>BSW Feet</t>
        </is>
      </c>
      <c r="E528" s="7" t="inlineStr">
        <is>
          <t>M</t>
        </is>
      </c>
      <c r="F528" s="32">
        <f>"'Daily Inventory (Live Formulas)'!M234 — Raw data, no formula"</f>
        <v/>
      </c>
      <c r="G528" s="33" t="inlineStr">
        <is>
          <t>Raw Data</t>
        </is>
      </c>
      <c r="H528" s="6" t="inlineStr"/>
    </row>
    <row r="529" ht="22" customHeight="1">
      <c r="A529" s="34" t="inlineStr"/>
      <c r="B529" s="4" t="inlineStr"/>
      <c r="C529" s="6" t="inlineStr"/>
      <c r="D529" s="6" t="inlineStr">
        <is>
          <t>Volume of Available Product (BBLs)</t>
        </is>
      </c>
      <c r="E529" s="7" t="inlineStr">
        <is>
          <t>N</t>
        </is>
      </c>
      <c r="F529" s="26">
        <f>'Daily Inventory (Live Formulas)'!N234</f>
        <v/>
      </c>
      <c r="G529" s="27" t="inlineStr">
        <is>
          <t>SUM</t>
        </is>
      </c>
      <c r="H529" s="6" t="inlineStr"/>
    </row>
    <row r="530" ht="22" customHeight="1">
      <c r="A530" s="34" t="inlineStr"/>
      <c r="B530" s="4" t="inlineStr"/>
      <c r="C530" s="6" t="inlineStr"/>
      <c r="D530" s="6" t="inlineStr">
        <is>
          <t>Remaining Capacity (BBLs)</t>
        </is>
      </c>
      <c r="E530" s="7" t="inlineStr">
        <is>
          <t>O</t>
        </is>
      </c>
      <c r="F530" s="26">
        <f>'Daily Inventory (Live Formulas)'!O234</f>
        <v/>
      </c>
      <c r="G530" s="27" t="inlineStr">
        <is>
          <t>SUM</t>
        </is>
      </c>
      <c r="H530" s="6" t="inlineStr"/>
    </row>
    <row r="531" ht="22" customHeight="1">
      <c r="A531" s="34" t="inlineStr"/>
      <c r="B531" s="4" t="inlineStr"/>
      <c r="C531" s="6" t="inlineStr"/>
      <c r="D531" s="6" t="inlineStr">
        <is>
          <t>Inventory Change Net Vol (BBLs)</t>
        </is>
      </c>
      <c r="E531" s="7" t="inlineStr">
        <is>
          <t>P</t>
        </is>
      </c>
      <c r="F531" s="26">
        <f>'Daily Inventory (Live Formulas)'!P234</f>
        <v/>
      </c>
      <c r="G531" s="27" t="inlineStr">
        <is>
          <t>SUM</t>
        </is>
      </c>
      <c r="H531" s="6" t="inlineStr"/>
    </row>
    <row r="532" ht="22" customHeight="1">
      <c r="A532" s="23" t="n">
        <v>45</v>
      </c>
      <c r="B532" s="24" t="inlineStr">
        <is>
          <t>OOS</t>
        </is>
      </c>
      <c r="C532" s="25" t="inlineStr">
        <is>
          <t>Out of Service</t>
        </is>
      </c>
      <c r="D532" s="25" t="inlineStr">
        <is>
          <t>Opening Net Volume (BBLs)</t>
        </is>
      </c>
      <c r="E532" s="23" t="inlineStr">
        <is>
          <t>E</t>
        </is>
      </c>
      <c r="F532" s="26">
        <f>'Daily Inventory (Live Formulas)'!E237+'Daily Inventory (Live Formulas)'!E238+'Daily Inventory (Live Formulas)'!E239</f>
        <v/>
      </c>
      <c r="G532" s="27" t="inlineStr">
        <is>
          <t>SUM</t>
        </is>
      </c>
      <c r="H532" s="25" t="inlineStr">
        <is>
          <t>TK153, TK774, TK775</t>
        </is>
      </c>
    </row>
    <row r="533" ht="22" customHeight="1">
      <c r="A533" s="28" t="inlineStr"/>
      <c r="B533" s="29" t="inlineStr"/>
      <c r="C533" s="25" t="inlineStr"/>
      <c r="D533" s="25" t="inlineStr">
        <is>
          <t>Opening Gravity</t>
        </is>
      </c>
      <c r="E533" s="23" t="inlineStr">
        <is>
          <t>F</t>
        </is>
      </c>
      <c r="F533" s="30">
        <f>AVERAGE('Daily Inventory (Live Formulas)'!F237,'Daily Inventory (Live Formulas)'!F238,'Daily Inventory (Live Formulas)'!F239)</f>
        <v/>
      </c>
      <c r="G533" s="31" t="inlineStr">
        <is>
          <t>AVERAGE</t>
        </is>
      </c>
      <c r="H533" s="25" t="inlineStr"/>
    </row>
    <row r="534" ht="22" customHeight="1">
      <c r="A534" s="28" t="inlineStr"/>
      <c r="B534" s="29" t="inlineStr"/>
      <c r="C534" s="25" t="inlineStr"/>
      <c r="D534" s="25" t="inlineStr">
        <is>
          <t>Closing Net Volume (BBLs)</t>
        </is>
      </c>
      <c r="E534" s="23" t="inlineStr">
        <is>
          <t>G</t>
        </is>
      </c>
      <c r="F534" s="26">
        <f>'Daily Inventory (Live Formulas)'!G237+'Daily Inventory (Live Formulas)'!G238+'Daily Inventory (Live Formulas)'!G239</f>
        <v/>
      </c>
      <c r="G534" s="27" t="inlineStr">
        <is>
          <t>SUM</t>
        </is>
      </c>
      <c r="H534" s="25" t="inlineStr"/>
    </row>
    <row r="535" ht="22" customHeight="1">
      <c r="A535" s="28" t="inlineStr"/>
      <c r="B535" s="29" t="inlineStr"/>
      <c r="C535" s="25" t="inlineStr"/>
      <c r="D535" s="25" t="inlineStr">
        <is>
          <t>Closing Gross Volume (BBLs)</t>
        </is>
      </c>
      <c r="E535" s="23" t="inlineStr">
        <is>
          <t>H</t>
        </is>
      </c>
      <c r="F535" s="26">
        <f>'Daily Inventory (Live Formulas)'!H237+'Daily Inventory (Live Formulas)'!H238+'Daily Inventory (Live Formulas)'!H239</f>
        <v/>
      </c>
      <c r="G535" s="27" t="inlineStr">
        <is>
          <t>SUM</t>
        </is>
      </c>
      <c r="H535" s="25" t="inlineStr"/>
    </row>
    <row r="536" ht="22" customHeight="1">
      <c r="A536" s="28" t="inlineStr"/>
      <c r="B536" s="29" t="inlineStr"/>
      <c r="C536" s="25" t="inlineStr"/>
      <c r="D536" s="25" t="inlineStr">
        <is>
          <t>Level Feet</t>
        </is>
      </c>
      <c r="E536" s="23" t="inlineStr">
        <is>
          <t>I</t>
        </is>
      </c>
      <c r="F536" s="32">
        <f>"'Daily Inventory (Live Formulas)'!I237 — Raw data, no formula"</f>
        <v/>
      </c>
      <c r="G536" s="33" t="inlineStr">
        <is>
          <t>Raw Data</t>
        </is>
      </c>
      <c r="H536" s="25" t="inlineStr"/>
    </row>
    <row r="537" ht="22" customHeight="1">
      <c r="A537" s="28" t="inlineStr"/>
      <c r="B537" s="29" t="inlineStr"/>
      <c r="C537" s="25" t="inlineStr"/>
      <c r="D537" s="25" t="inlineStr">
        <is>
          <t>Gravity (Closing)</t>
        </is>
      </c>
      <c r="E537" s="23" t="inlineStr">
        <is>
          <t>J</t>
        </is>
      </c>
      <c r="F537" s="30">
        <f>AVERAGE('Daily Inventory (Live Formulas)'!J237,'Daily Inventory (Live Formulas)'!J238,'Daily Inventory (Live Formulas)'!J239)</f>
        <v/>
      </c>
      <c r="G537" s="31" t="inlineStr">
        <is>
          <t>AVERAGE</t>
        </is>
      </c>
      <c r="H537" s="25" t="inlineStr"/>
    </row>
    <row r="538" ht="22" customHeight="1">
      <c r="A538" s="28" t="inlineStr"/>
      <c r="B538" s="29" t="inlineStr"/>
      <c r="C538" s="25" t="inlineStr"/>
      <c r="D538" s="25" t="inlineStr">
        <is>
          <t>Temperature</t>
        </is>
      </c>
      <c r="E538" s="23" t="inlineStr">
        <is>
          <t>K</t>
        </is>
      </c>
      <c r="F538" s="32">
        <f>"'Daily Inventory (Live Formulas)'!K237 — Raw data, no formula"</f>
        <v/>
      </c>
      <c r="G538" s="33" t="inlineStr">
        <is>
          <t>Raw Data</t>
        </is>
      </c>
      <c r="H538" s="25" t="inlineStr"/>
    </row>
    <row r="539" ht="22" customHeight="1">
      <c r="A539" s="28" t="inlineStr"/>
      <c r="B539" s="29" t="inlineStr"/>
      <c r="C539" s="25" t="inlineStr"/>
      <c r="D539" s="25" t="inlineStr">
        <is>
          <t>Total Water (BBLs)</t>
        </is>
      </c>
      <c r="E539" s="23" t="inlineStr">
        <is>
          <t>L</t>
        </is>
      </c>
      <c r="F539" s="26">
        <f>'Daily Inventory (Live Formulas)'!L237+'Daily Inventory (Live Formulas)'!L238+'Daily Inventory (Live Formulas)'!L239</f>
        <v/>
      </c>
      <c r="G539" s="27" t="inlineStr">
        <is>
          <t>SUM</t>
        </is>
      </c>
      <c r="H539" s="25" t="inlineStr"/>
    </row>
    <row r="540" ht="22" customHeight="1">
      <c r="A540" s="28" t="inlineStr"/>
      <c r="B540" s="29" t="inlineStr"/>
      <c r="C540" s="25" t="inlineStr"/>
      <c r="D540" s="25" t="inlineStr">
        <is>
          <t>BSW Feet</t>
        </is>
      </c>
      <c r="E540" s="23" t="inlineStr">
        <is>
          <t>M</t>
        </is>
      </c>
      <c r="F540" s="32">
        <f>"'Daily Inventory (Live Formulas)'!M237 — Raw data, no formula"</f>
        <v/>
      </c>
      <c r="G540" s="33" t="inlineStr">
        <is>
          <t>Raw Data</t>
        </is>
      </c>
      <c r="H540" s="25" t="inlineStr"/>
    </row>
    <row r="541" ht="22" customHeight="1">
      <c r="A541" s="28" t="inlineStr"/>
      <c r="B541" s="29" t="inlineStr"/>
      <c r="C541" s="25" t="inlineStr"/>
      <c r="D541" s="25" t="inlineStr">
        <is>
          <t>Volume of Available Product (BBLs)</t>
        </is>
      </c>
      <c r="E541" s="23" t="inlineStr">
        <is>
          <t>N</t>
        </is>
      </c>
      <c r="F541" s="26">
        <f>'Daily Inventory (Live Formulas)'!N237+'Daily Inventory (Live Formulas)'!N238+'Daily Inventory (Live Formulas)'!N239</f>
        <v/>
      </c>
      <c r="G541" s="27" t="inlineStr">
        <is>
          <t>SUM</t>
        </is>
      </c>
      <c r="H541" s="25" t="inlineStr"/>
    </row>
    <row r="542" ht="22" customHeight="1">
      <c r="A542" s="28" t="inlineStr"/>
      <c r="B542" s="29" t="inlineStr"/>
      <c r="C542" s="25" t="inlineStr"/>
      <c r="D542" s="25" t="inlineStr">
        <is>
          <t>Remaining Capacity (BBLs)</t>
        </is>
      </c>
      <c r="E542" s="23" t="inlineStr">
        <is>
          <t>O</t>
        </is>
      </c>
      <c r="F542" s="26">
        <f>'Daily Inventory (Live Formulas)'!O237+'Daily Inventory (Live Formulas)'!O238+'Daily Inventory (Live Formulas)'!O239</f>
        <v/>
      </c>
      <c r="G542" s="27" t="inlineStr">
        <is>
          <t>SUM</t>
        </is>
      </c>
      <c r="H542" s="25" t="inlineStr"/>
    </row>
    <row r="543" ht="22" customHeight="1">
      <c r="A543" s="28" t="inlineStr"/>
      <c r="B543" s="29" t="inlineStr"/>
      <c r="C543" s="25" t="inlineStr"/>
      <c r="D543" s="25" t="inlineStr">
        <is>
          <t>Inventory Change Net Vol (BBLs)</t>
        </is>
      </c>
      <c r="E543" s="23" t="inlineStr">
        <is>
          <t>P</t>
        </is>
      </c>
      <c r="F543" s="26">
        <f>'Daily Inventory (Live Formulas)'!P237+'Daily Inventory (Live Formulas)'!P238+'Daily Inventory (Live Formulas)'!P239</f>
        <v/>
      </c>
      <c r="G543" s="27" t="inlineStr">
        <is>
          <t>SUM</t>
        </is>
      </c>
      <c r="H543" s="25"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showGridLines="0" workbookViewId="0">
      <pane ySplit="2" topLeftCell="A3" activePane="bottomLeft" state="frozen"/>
      <selection pane="bottomLeft" activeCell="A1" sqref="A1"/>
    </sheetView>
  </sheetViews>
  <sheetFormatPr baseColWidth="8" defaultRowHeight="15"/>
  <cols>
    <col width="4" customWidth="1" min="1" max="1"/>
    <col width="32" customWidth="1" min="2" max="2"/>
    <col width="8" customWidth="1" min="3" max="3"/>
    <col width="14" customWidth="1" min="4" max="4"/>
    <col width="50" customWidth="1" min="5" max="5"/>
    <col width="42" customWidth="1" min="6" max="6"/>
  </cols>
  <sheetData>
    <row r="1" ht="28" customHeight="1">
      <c r="A1" s="21" t="inlineStr">
        <is>
          <t>FORMULA PATTERN GUIDE  —  How Each KPI Total is Calculated</t>
        </is>
      </c>
    </row>
    <row r="2" ht="28" customHeight="1">
      <c r="A2" s="2" t="inlineStr">
        <is>
          <t>#</t>
        </is>
      </c>
      <c r="B2" s="2" t="inlineStr">
        <is>
          <t>KPI Name</t>
        </is>
      </c>
      <c r="C2" s="2" t="inlineStr">
        <is>
          <t>Column</t>
        </is>
      </c>
      <c r="D2" s="2" t="inlineStr">
        <is>
          <t>Formula Type</t>
        </is>
      </c>
      <c r="E2" s="2" t="inlineStr">
        <is>
          <t>Formula Pattern (as written in Excel)</t>
        </is>
      </c>
      <c r="F2" s="2" t="inlineStr">
        <is>
          <t>Example — 3 tanks</t>
        </is>
      </c>
    </row>
    <row r="3" ht="24" customHeight="1">
      <c r="A3" s="27" t="n">
        <v>1</v>
      </c>
      <c r="B3" s="35" t="inlineStr">
        <is>
          <t>Opening Net Volume (BBLs)</t>
        </is>
      </c>
      <c r="C3" s="27" t="inlineStr">
        <is>
          <t>E</t>
        </is>
      </c>
      <c r="D3" s="27" t="inlineStr">
        <is>
          <t>SUM</t>
        </is>
      </c>
      <c r="E3" s="36">
        <f>E[row1]+E[row2]+...+E[rowN]</f>
        <v/>
      </c>
      <c r="F3" s="36">
        <f>E4+E5+E6</f>
        <v/>
      </c>
    </row>
    <row r="4" ht="24" customHeight="1">
      <c r="A4" s="31" t="n">
        <v>2</v>
      </c>
      <c r="B4" s="37" t="inlineStr">
        <is>
          <t>Opening Gravity</t>
        </is>
      </c>
      <c r="C4" s="31" t="inlineStr">
        <is>
          <t>F</t>
        </is>
      </c>
      <c r="D4" s="31" t="inlineStr">
        <is>
          <t>AVERAGE</t>
        </is>
      </c>
      <c r="E4" s="38">
        <f>AVERAGE(F[row1],F[row2],...,F[rowN])</f>
        <v/>
      </c>
      <c r="F4" s="38">
        <f>AVERAGE(F4,F5,F6)</f>
        <v/>
      </c>
    </row>
    <row r="5" ht="24" customHeight="1">
      <c r="A5" s="27" t="n">
        <v>3</v>
      </c>
      <c r="B5" s="35" t="inlineStr">
        <is>
          <t>Closing Net Volume (BBLs)</t>
        </is>
      </c>
      <c r="C5" s="27" t="inlineStr">
        <is>
          <t>G</t>
        </is>
      </c>
      <c r="D5" s="27" t="inlineStr">
        <is>
          <t>SUM</t>
        </is>
      </c>
      <c r="E5" s="36">
        <f>G[row1]+G[row2]+...+G[rowN]</f>
        <v/>
      </c>
      <c r="F5" s="36">
        <f>G4+G5+G6</f>
        <v/>
      </c>
    </row>
    <row r="6" ht="24" customHeight="1">
      <c r="A6" s="27" t="n">
        <v>4</v>
      </c>
      <c r="B6" s="35" t="inlineStr">
        <is>
          <t>Closing Gross Volume (BBLs)</t>
        </is>
      </c>
      <c r="C6" s="27" t="inlineStr">
        <is>
          <t>H</t>
        </is>
      </c>
      <c r="D6" s="27" t="inlineStr">
        <is>
          <t>SUM</t>
        </is>
      </c>
      <c r="E6" s="36">
        <f>H[row1]+H[row2]+...+H[rowN]</f>
        <v/>
      </c>
      <c r="F6" s="36">
        <f>H4+H5+H6</f>
        <v/>
      </c>
    </row>
    <row r="7" ht="24" customHeight="1">
      <c r="A7" s="33" t="n">
        <v>5</v>
      </c>
      <c r="B7" s="39" t="inlineStr">
        <is>
          <t>Level Feet</t>
        </is>
      </c>
      <c r="C7" s="33" t="inlineStr">
        <is>
          <t>I</t>
        </is>
      </c>
      <c r="D7" s="33" t="inlineStr">
        <is>
          <t>Raw Data</t>
        </is>
      </c>
      <c r="E7" s="40" t="inlineStr">
        <is>
          <t>No formula in Total row</t>
        </is>
      </c>
      <c r="F7" s="40" t="inlineStr">
        <is>
          <t>Individual tank reading only</t>
        </is>
      </c>
    </row>
    <row r="8" ht="24" customHeight="1">
      <c r="A8" s="31" t="n">
        <v>6</v>
      </c>
      <c r="B8" s="37" t="inlineStr">
        <is>
          <t>Gravity (Closing)</t>
        </is>
      </c>
      <c r="C8" s="31" t="inlineStr">
        <is>
          <t>J</t>
        </is>
      </c>
      <c r="D8" s="31" t="inlineStr">
        <is>
          <t>AVERAGE</t>
        </is>
      </c>
      <c r="E8" s="38">
        <f>AVERAGE(J[row1],J[row2],...,J[rowN])</f>
        <v/>
      </c>
      <c r="F8" s="38">
        <f>AVERAGE(J4,J5,J6)</f>
        <v/>
      </c>
    </row>
    <row r="9" ht="24" customHeight="1">
      <c r="A9" s="33" t="n">
        <v>7</v>
      </c>
      <c r="B9" s="39" t="inlineStr">
        <is>
          <t>Temperature</t>
        </is>
      </c>
      <c r="C9" s="33" t="inlineStr">
        <is>
          <t>K</t>
        </is>
      </c>
      <c r="D9" s="33" t="inlineStr">
        <is>
          <t>Raw Data</t>
        </is>
      </c>
      <c r="E9" s="40" t="inlineStr">
        <is>
          <t>No formula in Total row</t>
        </is>
      </c>
      <c r="F9" s="40" t="inlineStr">
        <is>
          <t>Individual tank reading only</t>
        </is>
      </c>
    </row>
    <row r="10" ht="24" customHeight="1">
      <c r="A10" s="27" t="n">
        <v>8</v>
      </c>
      <c r="B10" s="35" t="inlineStr">
        <is>
          <t>Total Water (BBLs)</t>
        </is>
      </c>
      <c r="C10" s="27" t="inlineStr">
        <is>
          <t>L</t>
        </is>
      </c>
      <c r="D10" s="27" t="inlineStr">
        <is>
          <t>SUM</t>
        </is>
      </c>
      <c r="E10" s="36">
        <f>L[row1]+L[row2]+...+L[rowN]</f>
        <v/>
      </c>
      <c r="F10" s="36">
        <f>L4+L5+L6</f>
        <v/>
      </c>
    </row>
    <row r="11" ht="24" customHeight="1">
      <c r="A11" s="33" t="n">
        <v>9</v>
      </c>
      <c r="B11" s="39" t="inlineStr">
        <is>
          <t>BSW Feet</t>
        </is>
      </c>
      <c r="C11" s="33" t="inlineStr">
        <is>
          <t>M</t>
        </is>
      </c>
      <c r="D11" s="33" t="inlineStr">
        <is>
          <t>Raw Data</t>
        </is>
      </c>
      <c r="E11" s="40" t="inlineStr">
        <is>
          <t>No formula in Total row</t>
        </is>
      </c>
      <c r="F11" s="40" t="inlineStr">
        <is>
          <t>Individual tank reading only</t>
        </is>
      </c>
    </row>
    <row r="12" ht="24" customHeight="1">
      <c r="A12" s="27" t="n">
        <v>10</v>
      </c>
      <c r="B12" s="35" t="inlineStr">
        <is>
          <t>Volume of Available Product (BBLs)</t>
        </is>
      </c>
      <c r="C12" s="27" t="inlineStr">
        <is>
          <t>N</t>
        </is>
      </c>
      <c r="D12" s="27" t="inlineStr">
        <is>
          <t>SUM</t>
        </is>
      </c>
      <c r="E12" s="36">
        <f>N[row1]+N[row2]+...+N[rowN]</f>
        <v/>
      </c>
      <c r="F12" s="36">
        <f>N4+N5+N6</f>
        <v/>
      </c>
    </row>
    <row r="13" ht="24" customHeight="1">
      <c r="A13" s="27" t="n">
        <v>11</v>
      </c>
      <c r="B13" s="35" t="inlineStr">
        <is>
          <t>Remaining Capacity (BBLs)</t>
        </is>
      </c>
      <c r="C13" s="27" t="inlineStr">
        <is>
          <t>O</t>
        </is>
      </c>
      <c r="D13" s="27" t="inlineStr">
        <is>
          <t>SUM</t>
        </is>
      </c>
      <c r="E13" s="36">
        <f>O[row1]+O[row2]+...+O[rowN]</f>
        <v/>
      </c>
      <c r="F13" s="36">
        <f>O4+O5+O6</f>
        <v/>
      </c>
    </row>
    <row r="14" ht="24" customHeight="1">
      <c r="A14" s="27" t="n">
        <v>12</v>
      </c>
      <c r="B14" s="35" t="inlineStr">
        <is>
          <t>Inventory Change Net Vol (BBLs)</t>
        </is>
      </c>
      <c r="C14" s="27" t="inlineStr">
        <is>
          <t>P</t>
        </is>
      </c>
      <c r="D14" s="27" t="inlineStr">
        <is>
          <t>SUM</t>
        </is>
      </c>
      <c r="E14" s="36">
        <f>P[row1]+P[row2]+...+P[rowN]</f>
        <v/>
      </c>
      <c r="F14" s="36">
        <f>P4+P5+P6</f>
        <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2026-05-28T10:21:04Z</dcterms:created>
  <dcterms:modified xsi:type="dcterms:W3CDTF">2026-05-28T10:21:05Z</dcterms:modified>
</cp:coreProperties>
</file>