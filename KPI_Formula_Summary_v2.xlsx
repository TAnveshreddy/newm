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-Table-Formula Mapping" sheetId="1" state="visible" r:id="rId1"/>
    <sheet name="Formula Quick Reference" sheetId="2" state="visible" r:id="rId2"/>
    <sheet name="Table Summary" sheetId="3" state="visible" r:id="rId3"/>
  </sheets>
  <definedNames>
    <definedName name="_xlnm._FilterDatabase" localSheetId="0" hidden="1">'KPI-Table-Formula Mapping'!$A$6:$I$411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i val="1"/>
      <color rgb="00444444"/>
      <sz val="9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ourier New"/>
      <b val="1"/>
      <color rgb="001F3864"/>
      <sz val="9"/>
    </font>
    <font>
      <name val="Calibri"/>
      <b val="1"/>
      <color rgb="00FFFFFF"/>
      <sz val="13"/>
    </font>
    <font>
      <name val="Courier New"/>
      <b val="1"/>
      <color rgb="001F5C99"/>
      <sz val="9"/>
    </font>
    <font>
      <name val="Courier New"/>
      <b val="1"/>
      <i val="1"/>
      <color rgb="00888888"/>
      <sz val="9"/>
    </font>
    <font>
      <name val="Calibri"/>
      <b val="1"/>
      <color rgb="00FFFFFF"/>
      <sz val="9"/>
    </font>
    <font>
      <name val="Courier New"/>
      <b val="1"/>
      <color rgb="001F3864"/>
      <sz val="8"/>
    </font>
  </fonts>
  <fills count="11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1F5C99"/>
      </patternFill>
    </fill>
    <fill>
      <patternFill patternType="solid">
        <fgColor rgb="00F7F7F7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/>
    </xf>
    <xf numFmtId="0" fontId="10" fillId="10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32" customWidth="1" min="3" max="3"/>
    <col width="30" customWidth="1" min="4" max="4"/>
    <col width="6" customWidth="1" min="5" max="5"/>
    <col width="42" customWidth="1" min="6" max="6"/>
    <col width="12" customWidth="1" min="7" max="7"/>
    <col width="38" customWidth="1" min="8" max="8"/>
    <col width="8" customWidth="1" min="9" max="9"/>
  </cols>
  <sheetData>
    <row r="1" ht="34" customHeight="1">
      <c r="A1" s="1" t="inlineStr">
        <is>
          <t>CARSON DAILY INVENTORY REPORT  —  KPI  ·  TABLE  ·  FORMULA MAPPING</t>
        </is>
      </c>
    </row>
    <row r="2" ht="20" customHeight="1">
      <c r="A2" s="2" t="inlineStr">
        <is>
          <t>MPC Carson Refinery  |  AORA Mass Balance System  |  Unit: Barrels  |  Recon Date: 2026-01-01</t>
        </is>
      </c>
    </row>
    <row r="3" ht="8" customHeight="1"/>
    <row r="4" ht="18" customHeight="1">
      <c r="A4" s="3" t="inlineStr">
        <is>
          <t>LEGEND:     ■ SUM — Adds all tank rows     ■ AVERAGE — Averages all tank rows     ■ Raw Data — No aggregation formula</t>
        </is>
      </c>
    </row>
    <row r="5" ht="8" customHeight="1"/>
    <row r="6" ht="36" customHeight="1">
      <c r="A6" s="4" t="inlineStr">
        <is>
          <t>#</t>
        </is>
      </c>
      <c r="B6" s="4" t="inlineStr">
        <is>
          <t>SAP Code
(Table Name)</t>
        </is>
      </c>
      <c r="C6" s="4" t="inlineStr">
        <is>
          <t>Full Product Name</t>
        </is>
      </c>
      <c r="D6" s="4" t="inlineStr">
        <is>
          <t>KPI Name</t>
        </is>
      </c>
      <c r="E6" s="4" t="inlineStr">
        <is>
          <t>KPI
Col</t>
        </is>
      </c>
      <c r="F6" s="4" t="inlineStr">
        <is>
          <t>Actual Excel Formula
(from Total Row)</t>
        </is>
      </c>
      <c r="G6" s="4" t="inlineStr">
        <is>
          <t>Formula
Type</t>
        </is>
      </c>
      <c r="H6" s="4" t="inlineStr">
        <is>
          <t>Tanks in Formula
(with row refs)</t>
        </is>
      </c>
      <c r="I6" s="4" t="inlineStr">
        <is>
          <t>Tank
Count</t>
        </is>
      </c>
    </row>
    <row r="7" ht="28" customHeight="1">
      <c r="A7" s="5" t="n">
        <v>1</v>
      </c>
      <c r="B7" s="6" t="inlineStr">
        <is>
          <t>Acc_84Blendgrade</t>
        </is>
      </c>
      <c r="C7" s="7" t="inlineStr">
        <is>
          <t>84 Blendgrade</t>
        </is>
      </c>
      <c r="D7" s="7" t="inlineStr">
        <is>
          <t>Opening Net Volume (BBLs)</t>
        </is>
      </c>
      <c r="E7" s="5" t="inlineStr">
        <is>
          <t>E</t>
        </is>
      </c>
      <c r="F7" s="8">
        <f>E10+E11</f>
        <v/>
      </c>
      <c r="G7" s="9" t="inlineStr">
        <is>
          <t>SUM</t>
        </is>
      </c>
      <c r="H7" s="7" t="inlineStr">
        <is>
          <t>LF_001, TK51</t>
        </is>
      </c>
      <c r="I7" s="10" t="n">
        <v>2</v>
      </c>
    </row>
    <row r="8" ht="28" customHeight="1">
      <c r="A8" s="10" t="inlineStr"/>
      <c r="B8" s="11" t="inlineStr"/>
      <c r="C8" s="7" t="inlineStr"/>
      <c r="D8" s="7" t="inlineStr">
        <is>
          <t>Opening Gravity</t>
        </is>
      </c>
      <c r="E8" s="5" t="inlineStr">
        <is>
          <t>F</t>
        </is>
      </c>
      <c r="F8" s="12">
        <f>AVERAGE(F10,F11)</f>
        <v/>
      </c>
      <c r="G8" s="13" t="inlineStr">
        <is>
          <t>AVERAGE</t>
        </is>
      </c>
      <c r="H8" s="7" t="inlineStr"/>
      <c r="I8" s="10" t="inlineStr"/>
    </row>
    <row r="9" ht="28" customHeight="1">
      <c r="A9" s="10" t="inlineStr"/>
      <c r="B9" s="11" t="inlineStr"/>
      <c r="C9" s="7" t="inlineStr"/>
      <c r="D9" s="7" t="inlineStr">
        <is>
          <t>Closing Net Volume (BBLs)</t>
        </is>
      </c>
      <c r="E9" s="5" t="inlineStr">
        <is>
          <t>G</t>
        </is>
      </c>
      <c r="F9" s="8">
        <f>G10+G11</f>
        <v/>
      </c>
      <c r="G9" s="9" t="inlineStr">
        <is>
          <t>SUM</t>
        </is>
      </c>
      <c r="H9" s="7" t="inlineStr"/>
      <c r="I9" s="10" t="inlineStr"/>
    </row>
    <row r="10" ht="28" customHeight="1">
      <c r="A10" s="10" t="inlineStr"/>
      <c r="B10" s="11" t="inlineStr"/>
      <c r="C10" s="7" t="inlineStr"/>
      <c r="D10" s="7" t="inlineStr">
        <is>
          <t>Closing Gross Volume (BBLs)</t>
        </is>
      </c>
      <c r="E10" s="5" t="inlineStr">
        <is>
          <t>H</t>
        </is>
      </c>
      <c r="F10" s="8">
        <f>H10+H11</f>
        <v/>
      </c>
      <c r="G10" s="9" t="inlineStr">
        <is>
          <t>SUM</t>
        </is>
      </c>
      <c r="H10" s="7" t="inlineStr"/>
      <c r="I10" s="10" t="inlineStr"/>
    </row>
    <row r="11" ht="28" customHeight="1">
      <c r="A11" s="10" t="inlineStr"/>
      <c r="B11" s="11" t="inlineStr"/>
      <c r="C11" s="7" t="inlineStr"/>
      <c r="D11" s="7" t="inlineStr">
        <is>
          <t>Gravity (Closing)</t>
        </is>
      </c>
      <c r="E11" s="5" t="inlineStr">
        <is>
          <t>J</t>
        </is>
      </c>
      <c r="F11" s="12">
        <f>AVERAGE(J10,J11)</f>
        <v/>
      </c>
      <c r="G11" s="13" t="inlineStr">
        <is>
          <t>AVERAGE</t>
        </is>
      </c>
      <c r="H11" s="7" t="inlineStr"/>
      <c r="I11" s="10" t="inlineStr"/>
    </row>
    <row r="12" ht="28" customHeight="1">
      <c r="A12" s="10" t="inlineStr"/>
      <c r="B12" s="11" t="inlineStr"/>
      <c r="C12" s="7" t="inlineStr"/>
      <c r="D12" s="7" t="inlineStr">
        <is>
          <t>Total Water (BBLs)</t>
        </is>
      </c>
      <c r="E12" s="5" t="inlineStr">
        <is>
          <t>L</t>
        </is>
      </c>
      <c r="F12" s="8">
        <f>L10+L11</f>
        <v/>
      </c>
      <c r="G12" s="9" t="inlineStr">
        <is>
          <t>SUM</t>
        </is>
      </c>
      <c r="H12" s="7" t="inlineStr"/>
      <c r="I12" s="10" t="inlineStr"/>
    </row>
    <row r="13" ht="28" customHeight="1">
      <c r="A13" s="10" t="inlineStr"/>
      <c r="B13" s="11" t="inlineStr"/>
      <c r="C13" s="7" t="inlineStr"/>
      <c r="D13" s="7" t="inlineStr">
        <is>
          <t>Volume of Available Product (BBLs)</t>
        </is>
      </c>
      <c r="E13" s="5" t="inlineStr">
        <is>
          <t>N</t>
        </is>
      </c>
      <c r="F13" s="8">
        <f>N10+N11</f>
        <v/>
      </c>
      <c r="G13" s="9" t="inlineStr">
        <is>
          <t>SUM</t>
        </is>
      </c>
      <c r="H13" s="7" t="inlineStr"/>
      <c r="I13" s="10" t="inlineStr"/>
    </row>
    <row r="14" ht="28" customHeight="1">
      <c r="A14" s="10" t="inlineStr"/>
      <c r="B14" s="11" t="inlineStr"/>
      <c r="C14" s="7" t="inlineStr"/>
      <c r="D14" s="7" t="inlineStr">
        <is>
          <t>Remaining Capacity (BBLs)</t>
        </is>
      </c>
      <c r="E14" s="5" t="inlineStr">
        <is>
          <t>O</t>
        </is>
      </c>
      <c r="F14" s="8">
        <f>O10+O11</f>
        <v/>
      </c>
      <c r="G14" s="9" t="inlineStr">
        <is>
          <t>SUM</t>
        </is>
      </c>
      <c r="H14" s="7" t="inlineStr"/>
      <c r="I14" s="10" t="inlineStr"/>
    </row>
    <row r="15" ht="28" customHeight="1">
      <c r="A15" s="10" t="inlineStr"/>
      <c r="B15" s="11" t="inlineStr"/>
      <c r="C15" s="7" t="inlineStr"/>
      <c r="D15" s="7" t="inlineStr">
        <is>
          <t>Inventory Change Net Vol (BBLs)</t>
        </is>
      </c>
      <c r="E15" s="5" t="inlineStr">
        <is>
          <t>P</t>
        </is>
      </c>
      <c r="F15" s="8">
        <f>P10+P11</f>
        <v/>
      </c>
      <c r="G15" s="9" t="inlineStr">
        <is>
          <t>SUM</t>
        </is>
      </c>
      <c r="H15" s="7" t="inlineStr"/>
      <c r="I15" s="10" t="inlineStr"/>
    </row>
    <row r="16" ht="28" customHeight="1">
      <c r="A16" s="14" t="n">
        <v>2</v>
      </c>
      <c r="B16" s="15" t="inlineStr">
        <is>
          <t>Acc_84RegSuboctane</t>
        </is>
      </c>
      <c r="C16" s="16" t="inlineStr">
        <is>
          <t>84 Regular Suboctane CBG AZ</t>
        </is>
      </c>
      <c r="D16" s="16" t="inlineStr">
        <is>
          <t>Opening Net Volume (BBLs)</t>
        </is>
      </c>
      <c r="E16" s="14" t="inlineStr">
        <is>
          <t>E</t>
        </is>
      </c>
      <c r="F16" s="8">
        <f>E14</f>
        <v/>
      </c>
      <c r="G16" s="9" t="inlineStr">
        <is>
          <t>SUM</t>
        </is>
      </c>
      <c r="H16" s="16" t="inlineStr">
        <is>
          <t>TK53</t>
        </is>
      </c>
      <c r="I16" s="17" t="n">
        <v>1</v>
      </c>
    </row>
    <row r="17" ht="28" customHeight="1">
      <c r="A17" s="17" t="inlineStr"/>
      <c r="B17" s="18" t="inlineStr"/>
      <c r="C17" s="16" t="inlineStr"/>
      <c r="D17" s="16" t="inlineStr">
        <is>
          <t>Opening Gravity</t>
        </is>
      </c>
      <c r="E17" s="14" t="inlineStr">
        <is>
          <t>F</t>
        </is>
      </c>
      <c r="F17" s="12">
        <f>AVERAGE(F14)</f>
        <v/>
      </c>
      <c r="G17" s="13" t="inlineStr">
        <is>
          <t>AVERAGE</t>
        </is>
      </c>
      <c r="H17" s="16" t="inlineStr"/>
      <c r="I17" s="17" t="inlineStr"/>
    </row>
    <row r="18" ht="28" customHeight="1">
      <c r="A18" s="17" t="inlineStr"/>
      <c r="B18" s="18" t="inlineStr"/>
      <c r="C18" s="16" t="inlineStr"/>
      <c r="D18" s="16" t="inlineStr">
        <is>
          <t>Closing Net Volume (BBLs)</t>
        </is>
      </c>
      <c r="E18" s="14" t="inlineStr">
        <is>
          <t>G</t>
        </is>
      </c>
      <c r="F18" s="8">
        <f>G14</f>
        <v/>
      </c>
      <c r="G18" s="9" t="inlineStr">
        <is>
          <t>SUM</t>
        </is>
      </c>
      <c r="H18" s="16" t="inlineStr"/>
      <c r="I18" s="17" t="inlineStr"/>
    </row>
    <row r="19" ht="28" customHeight="1">
      <c r="A19" s="17" t="inlineStr"/>
      <c r="B19" s="18" t="inlineStr"/>
      <c r="C19" s="16" t="inlineStr"/>
      <c r="D19" s="16" t="inlineStr">
        <is>
          <t>Closing Gross Volume (BBLs)</t>
        </is>
      </c>
      <c r="E19" s="14" t="inlineStr">
        <is>
          <t>H</t>
        </is>
      </c>
      <c r="F19" s="8">
        <f>H14</f>
        <v/>
      </c>
      <c r="G19" s="9" t="inlineStr">
        <is>
          <t>SUM</t>
        </is>
      </c>
      <c r="H19" s="16" t="inlineStr"/>
      <c r="I19" s="17" t="inlineStr"/>
    </row>
    <row r="20" ht="28" customHeight="1">
      <c r="A20" s="17" t="inlineStr"/>
      <c r="B20" s="18" t="inlineStr"/>
      <c r="C20" s="16" t="inlineStr"/>
      <c r="D20" s="16" t="inlineStr">
        <is>
          <t>Gravity (Closing)</t>
        </is>
      </c>
      <c r="E20" s="14" t="inlineStr">
        <is>
          <t>J</t>
        </is>
      </c>
      <c r="F20" s="12">
        <f>AVERAGE(J14)</f>
        <v/>
      </c>
      <c r="G20" s="13" t="inlineStr">
        <is>
          <t>AVERAGE</t>
        </is>
      </c>
      <c r="H20" s="16" t="inlineStr"/>
      <c r="I20" s="17" t="inlineStr"/>
    </row>
    <row r="21" ht="28" customHeight="1">
      <c r="A21" s="17" t="inlineStr"/>
      <c r="B21" s="18" t="inlineStr"/>
      <c r="C21" s="16" t="inlineStr"/>
      <c r="D21" s="16" t="inlineStr">
        <is>
          <t>Total Water (BBLs)</t>
        </is>
      </c>
      <c r="E21" s="14" t="inlineStr">
        <is>
          <t>L</t>
        </is>
      </c>
      <c r="F21" s="8">
        <f>L14</f>
        <v/>
      </c>
      <c r="G21" s="9" t="inlineStr">
        <is>
          <t>SUM</t>
        </is>
      </c>
      <c r="H21" s="16" t="inlineStr"/>
      <c r="I21" s="17" t="inlineStr"/>
    </row>
    <row r="22" ht="28" customHeight="1">
      <c r="A22" s="17" t="inlineStr"/>
      <c r="B22" s="18" t="inlineStr"/>
      <c r="C22" s="16" t="inlineStr"/>
      <c r="D22" s="16" t="inlineStr">
        <is>
          <t>Volume of Available Product (BBLs)</t>
        </is>
      </c>
      <c r="E22" s="14" t="inlineStr">
        <is>
          <t>N</t>
        </is>
      </c>
      <c r="F22" s="8">
        <f>N14</f>
        <v/>
      </c>
      <c r="G22" s="9" t="inlineStr">
        <is>
          <t>SUM</t>
        </is>
      </c>
      <c r="H22" s="16" t="inlineStr"/>
      <c r="I22" s="17" t="inlineStr"/>
    </row>
    <row r="23" ht="28" customHeight="1">
      <c r="A23" s="17" t="inlineStr"/>
      <c r="B23" s="18" t="inlineStr"/>
      <c r="C23" s="16" t="inlineStr"/>
      <c r="D23" s="16" t="inlineStr">
        <is>
          <t>Remaining Capacity (BBLs)</t>
        </is>
      </c>
      <c r="E23" s="14" t="inlineStr">
        <is>
          <t>O</t>
        </is>
      </c>
      <c r="F23" s="8">
        <f>O14</f>
        <v/>
      </c>
      <c r="G23" s="9" t="inlineStr">
        <is>
          <t>SUM</t>
        </is>
      </c>
      <c r="H23" s="16" t="inlineStr"/>
      <c r="I23" s="17" t="inlineStr"/>
    </row>
    <row r="24" ht="28" customHeight="1">
      <c r="A24" s="17" t="inlineStr"/>
      <c r="B24" s="18" t="inlineStr"/>
      <c r="C24" s="16" t="inlineStr"/>
      <c r="D24" s="16" t="inlineStr">
        <is>
          <t>Inventory Change Net Vol (BBLs)</t>
        </is>
      </c>
      <c r="E24" s="14" t="inlineStr">
        <is>
          <t>P</t>
        </is>
      </c>
      <c r="F24" s="8">
        <f>P14</f>
        <v/>
      </c>
      <c r="G24" s="9" t="inlineStr">
        <is>
          <t>SUM</t>
        </is>
      </c>
      <c r="H24" s="16" t="inlineStr"/>
      <c r="I24" s="17" t="inlineStr"/>
    </row>
    <row r="25" ht="28" customHeight="1">
      <c r="A25" s="5" t="n">
        <v>3</v>
      </c>
      <c r="B25" s="6" t="inlineStr">
        <is>
          <t>Acc_84RegularCARBOB</t>
        </is>
      </c>
      <c r="C25" s="7" t="inlineStr">
        <is>
          <t>84 Regular CARBOB</t>
        </is>
      </c>
      <c r="D25" s="7" t="inlineStr">
        <is>
          <t>Opening Net Volume (BBLs)</t>
        </is>
      </c>
      <c r="E25" s="5" t="inlineStr">
        <is>
          <t>E</t>
        </is>
      </c>
      <c r="F25" s="8">
        <f>E17+E18+E19+E20+E21</f>
        <v/>
      </c>
      <c r="G25" s="9" t="inlineStr">
        <is>
          <t>SUM</t>
        </is>
      </c>
      <c r="H25" s="7" t="inlineStr">
        <is>
          <t>TK41, TK50, TK54, TK55, TK65</t>
        </is>
      </c>
      <c r="I25" s="10" t="n">
        <v>5</v>
      </c>
    </row>
    <row r="26" ht="28" customHeight="1">
      <c r="A26" s="10" t="inlineStr"/>
      <c r="B26" s="11" t="inlineStr"/>
      <c r="C26" s="7" t="inlineStr"/>
      <c r="D26" s="7" t="inlineStr">
        <is>
          <t>Opening Gravity</t>
        </is>
      </c>
      <c r="E26" s="5" t="inlineStr">
        <is>
          <t>F</t>
        </is>
      </c>
      <c r="F26" s="12">
        <f>AVERAGE(F17,F18,F19,F20,F21)</f>
        <v/>
      </c>
      <c r="G26" s="13" t="inlineStr">
        <is>
          <t>AVERAGE</t>
        </is>
      </c>
      <c r="H26" s="7" t="inlineStr"/>
      <c r="I26" s="10" t="inlineStr"/>
    </row>
    <row r="27" ht="28" customHeight="1">
      <c r="A27" s="10" t="inlineStr"/>
      <c r="B27" s="11" t="inlineStr"/>
      <c r="C27" s="7" t="inlineStr"/>
      <c r="D27" s="7" t="inlineStr">
        <is>
          <t>Closing Net Volume (BBLs)</t>
        </is>
      </c>
      <c r="E27" s="5" t="inlineStr">
        <is>
          <t>G</t>
        </is>
      </c>
      <c r="F27" s="8">
        <f>G17+G18+G19+G20+G21</f>
        <v/>
      </c>
      <c r="G27" s="9" t="inlineStr">
        <is>
          <t>SUM</t>
        </is>
      </c>
      <c r="H27" s="7" t="inlineStr"/>
      <c r="I27" s="10" t="inlineStr"/>
    </row>
    <row r="28" ht="28" customHeight="1">
      <c r="A28" s="10" t="inlineStr"/>
      <c r="B28" s="11" t="inlineStr"/>
      <c r="C28" s="7" t="inlineStr"/>
      <c r="D28" s="7" t="inlineStr">
        <is>
          <t>Closing Gross Volume (BBLs)</t>
        </is>
      </c>
      <c r="E28" s="5" t="inlineStr">
        <is>
          <t>H</t>
        </is>
      </c>
      <c r="F28" s="8">
        <f>H17+H18+H19+H20+H21</f>
        <v/>
      </c>
      <c r="G28" s="9" t="inlineStr">
        <is>
          <t>SUM</t>
        </is>
      </c>
      <c r="H28" s="7" t="inlineStr"/>
      <c r="I28" s="10" t="inlineStr"/>
    </row>
    <row r="29" ht="28" customHeight="1">
      <c r="A29" s="10" t="inlineStr"/>
      <c r="B29" s="11" t="inlineStr"/>
      <c r="C29" s="7" t="inlineStr"/>
      <c r="D29" s="7" t="inlineStr">
        <is>
          <t>Gravity (Closing)</t>
        </is>
      </c>
      <c r="E29" s="5" t="inlineStr">
        <is>
          <t>J</t>
        </is>
      </c>
      <c r="F29" s="12">
        <f>AVERAGE(J17,J18,J19,J20,J21)</f>
        <v/>
      </c>
      <c r="G29" s="13" t="inlineStr">
        <is>
          <t>AVERAGE</t>
        </is>
      </c>
      <c r="H29" s="7" t="inlineStr"/>
      <c r="I29" s="10" t="inlineStr"/>
    </row>
    <row r="30" ht="28" customHeight="1">
      <c r="A30" s="10" t="inlineStr"/>
      <c r="B30" s="11" t="inlineStr"/>
      <c r="C30" s="7" t="inlineStr"/>
      <c r="D30" s="7" t="inlineStr">
        <is>
          <t>Total Water (BBLs)</t>
        </is>
      </c>
      <c r="E30" s="5" t="inlineStr">
        <is>
          <t>L</t>
        </is>
      </c>
      <c r="F30" s="8">
        <f>L17+L18+L19+L20+L21</f>
        <v/>
      </c>
      <c r="G30" s="9" t="inlineStr">
        <is>
          <t>SUM</t>
        </is>
      </c>
      <c r="H30" s="7" t="inlineStr"/>
      <c r="I30" s="10" t="inlineStr"/>
    </row>
    <row r="31" ht="28" customHeight="1">
      <c r="A31" s="10" t="inlineStr"/>
      <c r="B31" s="11" t="inlineStr"/>
      <c r="C31" s="7" t="inlineStr"/>
      <c r="D31" s="7" t="inlineStr">
        <is>
          <t>Volume of Available Product (BBLs)</t>
        </is>
      </c>
      <c r="E31" s="5" t="inlineStr">
        <is>
          <t>N</t>
        </is>
      </c>
      <c r="F31" s="8">
        <f>N17+N18+N19+N20+N21</f>
        <v/>
      </c>
      <c r="G31" s="9" t="inlineStr">
        <is>
          <t>SUM</t>
        </is>
      </c>
      <c r="H31" s="7" t="inlineStr"/>
      <c r="I31" s="10" t="inlineStr"/>
    </row>
    <row r="32" ht="28" customHeight="1">
      <c r="A32" s="10" t="inlineStr"/>
      <c r="B32" s="11" t="inlineStr"/>
      <c r="C32" s="7" t="inlineStr"/>
      <c r="D32" s="7" t="inlineStr">
        <is>
          <t>Remaining Capacity (BBLs)</t>
        </is>
      </c>
      <c r="E32" s="5" t="inlineStr">
        <is>
          <t>O</t>
        </is>
      </c>
      <c r="F32" s="8">
        <f>O17+O18+O19+O20+O21</f>
        <v/>
      </c>
      <c r="G32" s="9" t="inlineStr">
        <is>
          <t>SUM</t>
        </is>
      </c>
      <c r="H32" s="7" t="inlineStr"/>
      <c r="I32" s="10" t="inlineStr"/>
    </row>
    <row r="33" ht="28" customHeight="1">
      <c r="A33" s="10" t="inlineStr"/>
      <c r="B33" s="11" t="inlineStr"/>
      <c r="C33" s="7" t="inlineStr"/>
      <c r="D33" s="7" t="inlineStr">
        <is>
          <t>Inventory Change Net Vol (BBLs)</t>
        </is>
      </c>
      <c r="E33" s="5" t="inlineStr">
        <is>
          <t>P</t>
        </is>
      </c>
      <c r="F33" s="8">
        <f>P17+P18+P19+P20+P21</f>
        <v/>
      </c>
      <c r="G33" s="9" t="inlineStr">
        <is>
          <t>SUM</t>
        </is>
      </c>
      <c r="H33" s="7" t="inlineStr"/>
      <c r="I33" s="10" t="inlineStr"/>
    </row>
    <row r="34" ht="28" customHeight="1">
      <c r="A34" s="14" t="n">
        <v>4</v>
      </c>
      <c r="B34" s="15" t="inlineStr">
        <is>
          <t>Acc_89PremiumCARB</t>
        </is>
      </c>
      <c r="C34" s="16" t="inlineStr">
        <is>
          <t>89 Premium CARBOB</t>
        </is>
      </c>
      <c r="D34" s="16" t="inlineStr">
        <is>
          <t>Opening Net Volume (BBLs)</t>
        </is>
      </c>
      <c r="E34" s="14" t="inlineStr">
        <is>
          <t>E</t>
        </is>
      </c>
      <c r="F34" s="8">
        <f>E24+E25</f>
        <v/>
      </c>
      <c r="G34" s="9" t="inlineStr">
        <is>
          <t>SUM</t>
        </is>
      </c>
      <c r="H34" s="16" t="inlineStr">
        <is>
          <t>TK45, TK52</t>
        </is>
      </c>
      <c r="I34" s="17" t="n">
        <v>2</v>
      </c>
    </row>
    <row r="35" ht="28" customHeight="1">
      <c r="A35" s="17" t="inlineStr"/>
      <c r="B35" s="18" t="inlineStr"/>
      <c r="C35" s="16" t="inlineStr"/>
      <c r="D35" s="16" t="inlineStr">
        <is>
          <t>Opening Gravity</t>
        </is>
      </c>
      <c r="E35" s="14" t="inlineStr">
        <is>
          <t>F</t>
        </is>
      </c>
      <c r="F35" s="12">
        <f>AVERAGE(F24,F25)</f>
        <v/>
      </c>
      <c r="G35" s="13" t="inlineStr">
        <is>
          <t>AVERAGE</t>
        </is>
      </c>
      <c r="H35" s="16" t="inlineStr"/>
      <c r="I35" s="17" t="inlineStr"/>
    </row>
    <row r="36" ht="28" customHeight="1">
      <c r="A36" s="17" t="inlineStr"/>
      <c r="B36" s="18" t="inlineStr"/>
      <c r="C36" s="16" t="inlineStr"/>
      <c r="D36" s="16" t="inlineStr">
        <is>
          <t>Closing Net Volume (BBLs)</t>
        </is>
      </c>
      <c r="E36" s="14" t="inlineStr">
        <is>
          <t>G</t>
        </is>
      </c>
      <c r="F36" s="8">
        <f>G24+G25</f>
        <v/>
      </c>
      <c r="G36" s="9" t="inlineStr">
        <is>
          <t>SUM</t>
        </is>
      </c>
      <c r="H36" s="16" t="inlineStr"/>
      <c r="I36" s="17" t="inlineStr"/>
    </row>
    <row r="37" ht="28" customHeight="1">
      <c r="A37" s="17" t="inlineStr"/>
      <c r="B37" s="18" t="inlineStr"/>
      <c r="C37" s="16" t="inlineStr"/>
      <c r="D37" s="16" t="inlineStr">
        <is>
          <t>Closing Gross Volume (BBLs)</t>
        </is>
      </c>
      <c r="E37" s="14" t="inlineStr">
        <is>
          <t>H</t>
        </is>
      </c>
      <c r="F37" s="8">
        <f>H24+H25</f>
        <v/>
      </c>
      <c r="G37" s="9" t="inlineStr">
        <is>
          <t>SUM</t>
        </is>
      </c>
      <c r="H37" s="16" t="inlineStr"/>
      <c r="I37" s="17" t="inlineStr"/>
    </row>
    <row r="38" ht="28" customHeight="1">
      <c r="A38" s="17" t="inlineStr"/>
      <c r="B38" s="18" t="inlineStr"/>
      <c r="C38" s="16" t="inlineStr"/>
      <c r="D38" s="16" t="inlineStr">
        <is>
          <t>Gravity (Closing)</t>
        </is>
      </c>
      <c r="E38" s="14" t="inlineStr">
        <is>
          <t>J</t>
        </is>
      </c>
      <c r="F38" s="12">
        <f>AVERAGE(J24,J25)</f>
        <v/>
      </c>
      <c r="G38" s="13" t="inlineStr">
        <is>
          <t>AVERAGE</t>
        </is>
      </c>
      <c r="H38" s="16" t="inlineStr"/>
      <c r="I38" s="17" t="inlineStr"/>
    </row>
    <row r="39" ht="28" customHeight="1">
      <c r="A39" s="17" t="inlineStr"/>
      <c r="B39" s="18" t="inlineStr"/>
      <c r="C39" s="16" t="inlineStr"/>
      <c r="D39" s="16" t="inlineStr">
        <is>
          <t>Total Water (BBLs)</t>
        </is>
      </c>
      <c r="E39" s="14" t="inlineStr">
        <is>
          <t>L</t>
        </is>
      </c>
      <c r="F39" s="8">
        <f>L24+L25</f>
        <v/>
      </c>
      <c r="G39" s="9" t="inlineStr">
        <is>
          <t>SUM</t>
        </is>
      </c>
      <c r="H39" s="16" t="inlineStr"/>
      <c r="I39" s="17" t="inlineStr"/>
    </row>
    <row r="40" ht="28" customHeight="1">
      <c r="A40" s="17" t="inlineStr"/>
      <c r="B40" s="18" t="inlineStr"/>
      <c r="C40" s="16" t="inlineStr"/>
      <c r="D40" s="16" t="inlineStr">
        <is>
          <t>Volume of Available Product (BBLs)</t>
        </is>
      </c>
      <c r="E40" s="14" t="inlineStr">
        <is>
          <t>N</t>
        </is>
      </c>
      <c r="F40" s="8">
        <f>N24+N25</f>
        <v/>
      </c>
      <c r="G40" s="9" t="inlineStr">
        <is>
          <t>SUM</t>
        </is>
      </c>
      <c r="H40" s="16" t="inlineStr"/>
      <c r="I40" s="17" t="inlineStr"/>
    </row>
    <row r="41" ht="28" customHeight="1">
      <c r="A41" s="17" t="inlineStr"/>
      <c r="B41" s="18" t="inlineStr"/>
      <c r="C41" s="16" t="inlineStr"/>
      <c r="D41" s="16" t="inlineStr">
        <is>
          <t>Remaining Capacity (BBLs)</t>
        </is>
      </c>
      <c r="E41" s="14" t="inlineStr">
        <is>
          <t>O</t>
        </is>
      </c>
      <c r="F41" s="8">
        <f>O24+O25</f>
        <v/>
      </c>
      <c r="G41" s="9" t="inlineStr">
        <is>
          <t>SUM</t>
        </is>
      </c>
      <c r="H41" s="16" t="inlineStr"/>
      <c r="I41" s="17" t="inlineStr"/>
    </row>
    <row r="42" ht="28" customHeight="1">
      <c r="A42" s="17" t="inlineStr"/>
      <c r="B42" s="18" t="inlineStr"/>
      <c r="C42" s="16" t="inlineStr"/>
      <c r="D42" s="16" t="inlineStr">
        <is>
          <t>Inventory Change Net Vol (BBLs)</t>
        </is>
      </c>
      <c r="E42" s="14" t="inlineStr">
        <is>
          <t>P</t>
        </is>
      </c>
      <c r="F42" s="8">
        <f>P24+P25</f>
        <v/>
      </c>
      <c r="G42" s="9" t="inlineStr">
        <is>
          <t>SUM</t>
        </is>
      </c>
      <c r="H42" s="16" t="inlineStr"/>
      <c r="I42" s="17" t="inlineStr"/>
    </row>
    <row r="43" ht="28" customHeight="1">
      <c r="A43" s="5" t="n">
        <v>5</v>
      </c>
      <c r="B43" s="6" t="inlineStr">
        <is>
          <t>Acc_AlkyFeed</t>
        </is>
      </c>
      <c r="C43" s="7" t="inlineStr">
        <is>
          <t>Alky Feed</t>
        </is>
      </c>
      <c r="D43" s="7" t="inlineStr">
        <is>
          <t>Opening Net Volume (BBLs)</t>
        </is>
      </c>
      <c r="E43" s="5" t="inlineStr">
        <is>
          <t>E</t>
        </is>
      </c>
      <c r="F43" s="8">
        <f>E28+E29+E30</f>
        <v/>
      </c>
      <c r="G43" s="9" t="inlineStr">
        <is>
          <t>SUM</t>
        </is>
      </c>
      <c r="H43" s="7" t="inlineStr">
        <is>
          <t>TK682, TK76, TK78</t>
        </is>
      </c>
      <c r="I43" s="10" t="n">
        <v>3</v>
      </c>
    </row>
    <row r="44" ht="28" customHeight="1">
      <c r="A44" s="10" t="inlineStr"/>
      <c r="B44" s="11" t="inlineStr"/>
      <c r="C44" s="7" t="inlineStr"/>
      <c r="D44" s="7" t="inlineStr">
        <is>
          <t>Opening Gravity</t>
        </is>
      </c>
      <c r="E44" s="5" t="inlineStr">
        <is>
          <t>F</t>
        </is>
      </c>
      <c r="F44" s="12">
        <f>AVERAGE(F28,F29,F30)</f>
        <v/>
      </c>
      <c r="G44" s="13" t="inlineStr">
        <is>
          <t>AVERAGE</t>
        </is>
      </c>
      <c r="H44" s="7" t="inlineStr"/>
      <c r="I44" s="10" t="inlineStr"/>
    </row>
    <row r="45" ht="28" customHeight="1">
      <c r="A45" s="10" t="inlineStr"/>
      <c r="B45" s="11" t="inlineStr"/>
      <c r="C45" s="7" t="inlineStr"/>
      <c r="D45" s="7" t="inlineStr">
        <is>
          <t>Closing Net Volume (BBLs)</t>
        </is>
      </c>
      <c r="E45" s="5" t="inlineStr">
        <is>
          <t>G</t>
        </is>
      </c>
      <c r="F45" s="8">
        <f>G28+G29+G30</f>
        <v/>
      </c>
      <c r="G45" s="9" t="inlineStr">
        <is>
          <t>SUM</t>
        </is>
      </c>
      <c r="H45" s="7" t="inlineStr"/>
      <c r="I45" s="10" t="inlineStr"/>
    </row>
    <row r="46" ht="28" customHeight="1">
      <c r="A46" s="10" t="inlineStr"/>
      <c r="B46" s="11" t="inlineStr"/>
      <c r="C46" s="7" t="inlineStr"/>
      <c r="D46" s="7" t="inlineStr">
        <is>
          <t>Closing Gross Volume (BBLs)</t>
        </is>
      </c>
      <c r="E46" s="5" t="inlineStr">
        <is>
          <t>H</t>
        </is>
      </c>
      <c r="F46" s="8">
        <f>H28+H29+H30</f>
        <v/>
      </c>
      <c r="G46" s="9" t="inlineStr">
        <is>
          <t>SUM</t>
        </is>
      </c>
      <c r="H46" s="7" t="inlineStr"/>
      <c r="I46" s="10" t="inlineStr"/>
    </row>
    <row r="47" ht="28" customHeight="1">
      <c r="A47" s="10" t="inlineStr"/>
      <c r="B47" s="11" t="inlineStr"/>
      <c r="C47" s="7" t="inlineStr"/>
      <c r="D47" s="7" t="inlineStr">
        <is>
          <t>Gravity (Closing)</t>
        </is>
      </c>
      <c r="E47" s="5" t="inlineStr">
        <is>
          <t>J</t>
        </is>
      </c>
      <c r="F47" s="12">
        <f>AVERAGE(J28,J29,J30)</f>
        <v/>
      </c>
      <c r="G47" s="13" t="inlineStr">
        <is>
          <t>AVERAGE</t>
        </is>
      </c>
      <c r="H47" s="7" t="inlineStr"/>
      <c r="I47" s="10" t="inlineStr"/>
    </row>
    <row r="48" ht="28" customHeight="1">
      <c r="A48" s="10" t="inlineStr"/>
      <c r="B48" s="11" t="inlineStr"/>
      <c r="C48" s="7" t="inlineStr"/>
      <c r="D48" s="7" t="inlineStr">
        <is>
          <t>Total Water (BBLs)</t>
        </is>
      </c>
      <c r="E48" s="5" t="inlineStr">
        <is>
          <t>L</t>
        </is>
      </c>
      <c r="F48" s="8">
        <f>L28+L29+L30</f>
        <v/>
      </c>
      <c r="G48" s="9" t="inlineStr">
        <is>
          <t>SUM</t>
        </is>
      </c>
      <c r="H48" s="7" t="inlineStr"/>
      <c r="I48" s="10" t="inlineStr"/>
    </row>
    <row r="49" ht="28" customHeight="1">
      <c r="A49" s="10" t="inlineStr"/>
      <c r="B49" s="11" t="inlineStr"/>
      <c r="C49" s="7" t="inlineStr"/>
      <c r="D49" s="7" t="inlineStr">
        <is>
          <t>Volume of Available Product (BBLs)</t>
        </is>
      </c>
      <c r="E49" s="5" t="inlineStr">
        <is>
          <t>N</t>
        </is>
      </c>
      <c r="F49" s="8">
        <f>N28+N29+N30</f>
        <v/>
      </c>
      <c r="G49" s="9" t="inlineStr">
        <is>
          <t>SUM</t>
        </is>
      </c>
      <c r="H49" s="7" t="inlineStr"/>
      <c r="I49" s="10" t="inlineStr"/>
    </row>
    <row r="50" ht="28" customHeight="1">
      <c r="A50" s="10" t="inlineStr"/>
      <c r="B50" s="11" t="inlineStr"/>
      <c r="C50" s="7" t="inlineStr"/>
      <c r="D50" s="7" t="inlineStr">
        <is>
          <t>Remaining Capacity (BBLs)</t>
        </is>
      </c>
      <c r="E50" s="5" t="inlineStr">
        <is>
          <t>O</t>
        </is>
      </c>
      <c r="F50" s="8">
        <f>O28+O29+O30</f>
        <v/>
      </c>
      <c r="G50" s="9" t="inlineStr">
        <is>
          <t>SUM</t>
        </is>
      </c>
      <c r="H50" s="7" t="inlineStr"/>
      <c r="I50" s="10" t="inlineStr"/>
    </row>
    <row r="51" ht="28" customHeight="1">
      <c r="A51" s="10" t="inlineStr"/>
      <c r="B51" s="11" t="inlineStr"/>
      <c r="C51" s="7" t="inlineStr"/>
      <c r="D51" s="7" t="inlineStr">
        <is>
          <t>Inventory Change Net Vol (BBLs)</t>
        </is>
      </c>
      <c r="E51" s="5" t="inlineStr">
        <is>
          <t>P</t>
        </is>
      </c>
      <c r="F51" s="8">
        <f>P28+P29+P30</f>
        <v/>
      </c>
      <c r="G51" s="9" t="inlineStr">
        <is>
          <t>SUM</t>
        </is>
      </c>
      <c r="H51" s="7" t="inlineStr"/>
      <c r="I51" s="10" t="inlineStr"/>
    </row>
    <row r="52" ht="28" customHeight="1">
      <c r="A52" s="14" t="n">
        <v>6</v>
      </c>
      <c r="B52" s="15" t="inlineStr">
        <is>
          <t>Acc_Alkylate</t>
        </is>
      </c>
      <c r="C52" s="16" t="inlineStr">
        <is>
          <t>Alkylate</t>
        </is>
      </c>
      <c r="D52" s="16" t="inlineStr">
        <is>
          <t>Opening Net Volume (BBLs)</t>
        </is>
      </c>
      <c r="E52" s="14" t="inlineStr">
        <is>
          <t>E</t>
        </is>
      </c>
      <c r="F52" s="8">
        <f>E33+E34+E35+E36</f>
        <v/>
      </c>
      <c r="G52" s="9" t="inlineStr">
        <is>
          <t>SUM</t>
        </is>
      </c>
      <c r="H52" s="16" t="inlineStr">
        <is>
          <t>LF_005, TK31, TK43, TK64</t>
        </is>
      </c>
      <c r="I52" s="17" t="n">
        <v>4</v>
      </c>
    </row>
    <row r="53" ht="28" customHeight="1">
      <c r="A53" s="17" t="inlineStr"/>
      <c r="B53" s="18" t="inlineStr"/>
      <c r="C53" s="16" t="inlineStr"/>
      <c r="D53" s="16" t="inlineStr">
        <is>
          <t>Opening Gravity</t>
        </is>
      </c>
      <c r="E53" s="14" t="inlineStr">
        <is>
          <t>F</t>
        </is>
      </c>
      <c r="F53" s="12">
        <f>AVERAGE(F33,F34,F35,F36)</f>
        <v/>
      </c>
      <c r="G53" s="13" t="inlineStr">
        <is>
          <t>AVERAGE</t>
        </is>
      </c>
      <c r="H53" s="16" t="inlineStr"/>
      <c r="I53" s="17" t="inlineStr"/>
    </row>
    <row r="54" ht="28" customHeight="1">
      <c r="A54" s="17" t="inlineStr"/>
      <c r="B54" s="18" t="inlineStr"/>
      <c r="C54" s="16" t="inlineStr"/>
      <c r="D54" s="16" t="inlineStr">
        <is>
          <t>Closing Net Volume (BBLs)</t>
        </is>
      </c>
      <c r="E54" s="14" t="inlineStr">
        <is>
          <t>G</t>
        </is>
      </c>
      <c r="F54" s="8">
        <f>G33+G34+G35+G36</f>
        <v/>
      </c>
      <c r="G54" s="9" t="inlineStr">
        <is>
          <t>SUM</t>
        </is>
      </c>
      <c r="H54" s="16" t="inlineStr"/>
      <c r="I54" s="17" t="inlineStr"/>
    </row>
    <row r="55" ht="28" customHeight="1">
      <c r="A55" s="17" t="inlineStr"/>
      <c r="B55" s="18" t="inlineStr"/>
      <c r="C55" s="16" t="inlineStr"/>
      <c r="D55" s="16" t="inlineStr">
        <is>
          <t>Closing Gross Volume (BBLs)</t>
        </is>
      </c>
      <c r="E55" s="14" t="inlineStr">
        <is>
          <t>H</t>
        </is>
      </c>
      <c r="F55" s="8">
        <f>H33+H34+H35+H36</f>
        <v/>
      </c>
      <c r="G55" s="9" t="inlineStr">
        <is>
          <t>SUM</t>
        </is>
      </c>
      <c r="H55" s="16" t="inlineStr"/>
      <c r="I55" s="17" t="inlineStr"/>
    </row>
    <row r="56" ht="28" customHeight="1">
      <c r="A56" s="17" t="inlineStr"/>
      <c r="B56" s="18" t="inlineStr"/>
      <c r="C56" s="16" t="inlineStr"/>
      <c r="D56" s="16" t="inlineStr">
        <is>
          <t>Gravity (Closing)</t>
        </is>
      </c>
      <c r="E56" s="14" t="inlineStr">
        <is>
          <t>J</t>
        </is>
      </c>
      <c r="F56" s="12">
        <f>AVERAGE(J33,J34,J35,J36)</f>
        <v/>
      </c>
      <c r="G56" s="13" t="inlineStr">
        <is>
          <t>AVERAGE</t>
        </is>
      </c>
      <c r="H56" s="16" t="inlineStr"/>
      <c r="I56" s="17" t="inlineStr"/>
    </row>
    <row r="57" ht="28" customHeight="1">
      <c r="A57" s="17" t="inlineStr"/>
      <c r="B57" s="18" t="inlineStr"/>
      <c r="C57" s="16" t="inlineStr"/>
      <c r="D57" s="16" t="inlineStr">
        <is>
          <t>Total Water (BBLs)</t>
        </is>
      </c>
      <c r="E57" s="14" t="inlineStr">
        <is>
          <t>L</t>
        </is>
      </c>
      <c r="F57" s="8">
        <f>L33+L34+L35+L36</f>
        <v/>
      </c>
      <c r="G57" s="9" t="inlineStr">
        <is>
          <t>SUM</t>
        </is>
      </c>
      <c r="H57" s="16" t="inlineStr"/>
      <c r="I57" s="17" t="inlineStr"/>
    </row>
    <row r="58" ht="28" customHeight="1">
      <c r="A58" s="17" t="inlineStr"/>
      <c r="B58" s="18" t="inlineStr"/>
      <c r="C58" s="16" t="inlineStr"/>
      <c r="D58" s="16" t="inlineStr">
        <is>
          <t>Volume of Available Product (BBLs)</t>
        </is>
      </c>
      <c r="E58" s="14" t="inlineStr">
        <is>
          <t>N</t>
        </is>
      </c>
      <c r="F58" s="8">
        <f>N33+N34+N35+N36</f>
        <v/>
      </c>
      <c r="G58" s="9" t="inlineStr">
        <is>
          <t>SUM</t>
        </is>
      </c>
      <c r="H58" s="16" t="inlineStr"/>
      <c r="I58" s="17" t="inlineStr"/>
    </row>
    <row r="59" ht="28" customHeight="1">
      <c r="A59" s="17" t="inlineStr"/>
      <c r="B59" s="18" t="inlineStr"/>
      <c r="C59" s="16" t="inlineStr"/>
      <c r="D59" s="16" t="inlineStr">
        <is>
          <t>Remaining Capacity (BBLs)</t>
        </is>
      </c>
      <c r="E59" s="14" t="inlineStr">
        <is>
          <t>O</t>
        </is>
      </c>
      <c r="F59" s="8">
        <f>O33+O34+O35+O36</f>
        <v/>
      </c>
      <c r="G59" s="9" t="inlineStr">
        <is>
          <t>SUM</t>
        </is>
      </c>
      <c r="H59" s="16" t="inlineStr"/>
      <c r="I59" s="17" t="inlineStr"/>
    </row>
    <row r="60" ht="28" customHeight="1">
      <c r="A60" s="17" t="inlineStr"/>
      <c r="B60" s="18" t="inlineStr"/>
      <c r="C60" s="16" t="inlineStr"/>
      <c r="D60" s="16" t="inlineStr">
        <is>
          <t>Inventory Change Net Vol (BBLs)</t>
        </is>
      </c>
      <c r="E60" s="14" t="inlineStr">
        <is>
          <t>P</t>
        </is>
      </c>
      <c r="F60" s="8">
        <f>P33+P34+P35+P36</f>
        <v/>
      </c>
      <c r="G60" s="9" t="inlineStr">
        <is>
          <t>SUM</t>
        </is>
      </c>
      <c r="H60" s="16" t="inlineStr"/>
      <c r="I60" s="17" t="inlineStr"/>
    </row>
    <row r="61" ht="28" customHeight="1">
      <c r="A61" s="5" t="n">
        <v>7</v>
      </c>
      <c r="B61" s="6" t="inlineStr">
        <is>
          <t>Acc_ChemPropylene</t>
        </is>
      </c>
      <c r="C61" s="7" t="inlineStr">
        <is>
          <t>Chemical Grade Propylene</t>
        </is>
      </c>
      <c r="D61" s="7" t="inlineStr">
        <is>
          <t>Opening Net Volume (BBLs)</t>
        </is>
      </c>
      <c r="E61" s="5" t="inlineStr">
        <is>
          <t>E</t>
        </is>
      </c>
      <c r="F61" s="8">
        <f>E39+E40</f>
        <v/>
      </c>
      <c r="G61" s="9" t="inlineStr">
        <is>
          <t>SUM</t>
        </is>
      </c>
      <c r="H61" s="7" t="inlineStr">
        <is>
          <t>TK398, TK399</t>
        </is>
      </c>
      <c r="I61" s="10" t="n">
        <v>2</v>
      </c>
    </row>
    <row r="62" ht="28" customHeight="1">
      <c r="A62" s="10" t="inlineStr"/>
      <c r="B62" s="11" t="inlineStr"/>
      <c r="C62" s="7" t="inlineStr"/>
      <c r="D62" s="7" t="inlineStr">
        <is>
          <t>Opening Gravity</t>
        </is>
      </c>
      <c r="E62" s="5" t="inlineStr">
        <is>
          <t>F</t>
        </is>
      </c>
      <c r="F62" s="12">
        <f>AVERAGE(F39,F40)</f>
        <v/>
      </c>
      <c r="G62" s="13" t="inlineStr">
        <is>
          <t>AVERAGE</t>
        </is>
      </c>
      <c r="H62" s="7" t="inlineStr"/>
      <c r="I62" s="10" t="inlineStr"/>
    </row>
    <row r="63" ht="28" customHeight="1">
      <c r="A63" s="10" t="inlineStr"/>
      <c r="B63" s="11" t="inlineStr"/>
      <c r="C63" s="7" t="inlineStr"/>
      <c r="D63" s="7" t="inlineStr">
        <is>
          <t>Closing Net Volume (BBLs)</t>
        </is>
      </c>
      <c r="E63" s="5" t="inlineStr">
        <is>
          <t>G</t>
        </is>
      </c>
      <c r="F63" s="8">
        <f>G39+G40</f>
        <v/>
      </c>
      <c r="G63" s="9" t="inlineStr">
        <is>
          <t>SUM</t>
        </is>
      </c>
      <c r="H63" s="7" t="inlineStr"/>
      <c r="I63" s="10" t="inlineStr"/>
    </row>
    <row r="64" ht="28" customHeight="1">
      <c r="A64" s="10" t="inlineStr"/>
      <c r="B64" s="11" t="inlineStr"/>
      <c r="C64" s="7" t="inlineStr"/>
      <c r="D64" s="7" t="inlineStr">
        <is>
          <t>Closing Gross Volume (BBLs)</t>
        </is>
      </c>
      <c r="E64" s="5" t="inlineStr">
        <is>
          <t>H</t>
        </is>
      </c>
      <c r="F64" s="8">
        <f>H39+H40</f>
        <v/>
      </c>
      <c r="G64" s="9" t="inlineStr">
        <is>
          <t>SUM</t>
        </is>
      </c>
      <c r="H64" s="7" t="inlineStr"/>
      <c r="I64" s="10" t="inlineStr"/>
    </row>
    <row r="65" ht="28" customHeight="1">
      <c r="A65" s="10" t="inlineStr"/>
      <c r="B65" s="11" t="inlineStr"/>
      <c r="C65" s="7" t="inlineStr"/>
      <c r="D65" s="7" t="inlineStr">
        <is>
          <t>Gravity (Closing)</t>
        </is>
      </c>
      <c r="E65" s="5" t="inlineStr">
        <is>
          <t>J</t>
        </is>
      </c>
      <c r="F65" s="12">
        <f>AVERAGE(J39,J40)</f>
        <v/>
      </c>
      <c r="G65" s="13" t="inlineStr">
        <is>
          <t>AVERAGE</t>
        </is>
      </c>
      <c r="H65" s="7" t="inlineStr"/>
      <c r="I65" s="10" t="inlineStr"/>
    </row>
    <row r="66" ht="28" customHeight="1">
      <c r="A66" s="10" t="inlineStr"/>
      <c r="B66" s="11" t="inlineStr"/>
      <c r="C66" s="7" t="inlineStr"/>
      <c r="D66" s="7" t="inlineStr">
        <is>
          <t>Total Water (BBLs)</t>
        </is>
      </c>
      <c r="E66" s="5" t="inlineStr">
        <is>
          <t>L</t>
        </is>
      </c>
      <c r="F66" s="8">
        <f>L39+L40</f>
        <v/>
      </c>
      <c r="G66" s="9" t="inlineStr">
        <is>
          <t>SUM</t>
        </is>
      </c>
      <c r="H66" s="7" t="inlineStr"/>
      <c r="I66" s="10" t="inlineStr"/>
    </row>
    <row r="67" ht="28" customHeight="1">
      <c r="A67" s="10" t="inlineStr"/>
      <c r="B67" s="11" t="inlineStr"/>
      <c r="C67" s="7" t="inlineStr"/>
      <c r="D67" s="7" t="inlineStr">
        <is>
          <t>Volume of Available Product (BBLs)</t>
        </is>
      </c>
      <c r="E67" s="5" t="inlineStr">
        <is>
          <t>N</t>
        </is>
      </c>
      <c r="F67" s="8">
        <f>N39+N40</f>
        <v/>
      </c>
      <c r="G67" s="9" t="inlineStr">
        <is>
          <t>SUM</t>
        </is>
      </c>
      <c r="H67" s="7" t="inlineStr"/>
      <c r="I67" s="10" t="inlineStr"/>
    </row>
    <row r="68" ht="28" customHeight="1">
      <c r="A68" s="10" t="inlineStr"/>
      <c r="B68" s="11" t="inlineStr"/>
      <c r="C68" s="7" t="inlineStr"/>
      <c r="D68" s="7" t="inlineStr">
        <is>
          <t>Remaining Capacity (BBLs)</t>
        </is>
      </c>
      <c r="E68" s="5" t="inlineStr">
        <is>
          <t>O</t>
        </is>
      </c>
      <c r="F68" s="8">
        <f>O39+O40</f>
        <v/>
      </c>
      <c r="G68" s="9" t="inlineStr">
        <is>
          <t>SUM</t>
        </is>
      </c>
      <c r="H68" s="7" t="inlineStr"/>
      <c r="I68" s="10" t="inlineStr"/>
    </row>
    <row r="69" ht="28" customHeight="1">
      <c r="A69" s="10" t="inlineStr"/>
      <c r="B69" s="11" t="inlineStr"/>
      <c r="C69" s="7" t="inlineStr"/>
      <c r="D69" s="7" t="inlineStr">
        <is>
          <t>Inventory Change Net Vol (BBLs)</t>
        </is>
      </c>
      <c r="E69" s="5" t="inlineStr">
        <is>
          <t>P</t>
        </is>
      </c>
      <c r="F69" s="8">
        <f>P39+P40</f>
        <v/>
      </c>
      <c r="G69" s="9" t="inlineStr">
        <is>
          <t>SUM</t>
        </is>
      </c>
      <c r="H69" s="7" t="inlineStr"/>
      <c r="I69" s="10" t="inlineStr"/>
    </row>
    <row r="70" ht="28" customHeight="1">
      <c r="A70" s="14" t="n">
        <v>8</v>
      </c>
      <c r="B70" s="15" t="inlineStr">
        <is>
          <t>Acc_Crude</t>
        </is>
      </c>
      <c r="C70" s="16" t="inlineStr">
        <is>
          <t>Crude Mix</t>
        </is>
      </c>
      <c r="D70" s="16" t="inlineStr">
        <is>
          <t>Opening Net Volume (BBLs)</t>
        </is>
      </c>
      <c r="E70" s="14" t="inlineStr">
        <is>
          <t>E</t>
        </is>
      </c>
      <c r="F70" s="8">
        <f>E43+E44+E45+E46+E47+E48+E49+E50+E51+E52</f>
        <v/>
      </c>
      <c r="G70" s="9" t="inlineStr">
        <is>
          <t>SUM</t>
        </is>
      </c>
      <c r="H70" s="16" t="inlineStr">
        <is>
          <t>LF_004, TK13, TK16, TK17, TK18, TK2, TK3, TK5, TK6, TK8</t>
        </is>
      </c>
      <c r="I70" s="17" t="n">
        <v>10</v>
      </c>
    </row>
    <row r="71" ht="28" customHeight="1">
      <c r="A71" s="17" t="inlineStr"/>
      <c r="B71" s="18" t="inlineStr"/>
      <c r="C71" s="16" t="inlineStr"/>
      <c r="D71" s="16" t="inlineStr">
        <is>
          <t>Opening Gravity</t>
        </is>
      </c>
      <c r="E71" s="14" t="inlineStr">
        <is>
          <t>F</t>
        </is>
      </c>
      <c r="F71" s="12">
        <f>AVERAGE(F43,F44,F45,F46,F47,F48,F49,F50,F51,F52)</f>
        <v/>
      </c>
      <c r="G71" s="13" t="inlineStr">
        <is>
          <t>AVERAGE</t>
        </is>
      </c>
      <c r="H71" s="16" t="inlineStr"/>
      <c r="I71" s="17" t="inlineStr"/>
    </row>
    <row r="72" ht="28" customHeight="1">
      <c r="A72" s="17" t="inlineStr"/>
      <c r="B72" s="18" t="inlineStr"/>
      <c r="C72" s="16" t="inlineStr"/>
      <c r="D72" s="16" t="inlineStr">
        <is>
          <t>Closing Net Volume (BBLs)</t>
        </is>
      </c>
      <c r="E72" s="14" t="inlineStr">
        <is>
          <t>G</t>
        </is>
      </c>
      <c r="F72" s="8">
        <f>G43+G44+G45+G46+G47+G48+G49+G50+G51+G52</f>
        <v/>
      </c>
      <c r="G72" s="9" t="inlineStr">
        <is>
          <t>SUM</t>
        </is>
      </c>
      <c r="H72" s="16" t="inlineStr"/>
      <c r="I72" s="17" t="inlineStr"/>
    </row>
    <row r="73" ht="28" customHeight="1">
      <c r="A73" s="17" t="inlineStr"/>
      <c r="B73" s="18" t="inlineStr"/>
      <c r="C73" s="16" t="inlineStr"/>
      <c r="D73" s="16" t="inlineStr">
        <is>
          <t>Closing Gross Volume (BBLs)</t>
        </is>
      </c>
      <c r="E73" s="14" t="inlineStr">
        <is>
          <t>H</t>
        </is>
      </c>
      <c r="F73" s="8">
        <f>H43+H44+H45+H46+H47+H48+H49+H50+H51+H52</f>
        <v/>
      </c>
      <c r="G73" s="9" t="inlineStr">
        <is>
          <t>SUM</t>
        </is>
      </c>
      <c r="H73" s="16" t="inlineStr"/>
      <c r="I73" s="17" t="inlineStr"/>
    </row>
    <row r="74" ht="28" customHeight="1">
      <c r="A74" s="17" t="inlineStr"/>
      <c r="B74" s="18" t="inlineStr"/>
      <c r="C74" s="16" t="inlineStr"/>
      <c r="D74" s="16" t="inlineStr">
        <is>
          <t>Gravity (Closing)</t>
        </is>
      </c>
      <c r="E74" s="14" t="inlineStr">
        <is>
          <t>J</t>
        </is>
      </c>
      <c r="F74" s="12">
        <f>AVERAGE(J43,J44,J45,J46,J47,J48,J49,J50,J51,J52)</f>
        <v/>
      </c>
      <c r="G74" s="13" t="inlineStr">
        <is>
          <t>AVERAGE</t>
        </is>
      </c>
      <c r="H74" s="16" t="inlineStr"/>
      <c r="I74" s="17" t="inlineStr"/>
    </row>
    <row r="75" ht="28" customHeight="1">
      <c r="A75" s="17" t="inlineStr"/>
      <c r="B75" s="18" t="inlineStr"/>
      <c r="C75" s="16" t="inlineStr"/>
      <c r="D75" s="16" t="inlineStr">
        <is>
          <t>Total Water (BBLs)</t>
        </is>
      </c>
      <c r="E75" s="14" t="inlineStr">
        <is>
          <t>L</t>
        </is>
      </c>
      <c r="F75" s="8">
        <f>L43+L44+L45+L46+L47+L48+L49+L50+L51+L52</f>
        <v/>
      </c>
      <c r="G75" s="9" t="inlineStr">
        <is>
          <t>SUM</t>
        </is>
      </c>
      <c r="H75" s="16" t="inlineStr"/>
      <c r="I75" s="17" t="inlineStr"/>
    </row>
    <row r="76" ht="28" customHeight="1">
      <c r="A76" s="17" t="inlineStr"/>
      <c r="B76" s="18" t="inlineStr"/>
      <c r="C76" s="16" t="inlineStr"/>
      <c r="D76" s="16" t="inlineStr">
        <is>
          <t>Volume of Available Product (BBLs)</t>
        </is>
      </c>
      <c r="E76" s="14" t="inlineStr">
        <is>
          <t>N</t>
        </is>
      </c>
      <c r="F76" s="8">
        <f>N43+N44+N45+N46+N47+N48+N49+N50+N51+N52</f>
        <v/>
      </c>
      <c r="G76" s="9" t="inlineStr">
        <is>
          <t>SUM</t>
        </is>
      </c>
      <c r="H76" s="16" t="inlineStr"/>
      <c r="I76" s="17" t="inlineStr"/>
    </row>
    <row r="77" ht="28" customHeight="1">
      <c r="A77" s="17" t="inlineStr"/>
      <c r="B77" s="18" t="inlineStr"/>
      <c r="C77" s="16" t="inlineStr"/>
      <c r="D77" s="16" t="inlineStr">
        <is>
          <t>Remaining Capacity (BBLs)</t>
        </is>
      </c>
      <c r="E77" s="14" t="inlineStr">
        <is>
          <t>O</t>
        </is>
      </c>
      <c r="F77" s="8">
        <f>O43+O44+O45+O46+O47+O48+O49+O50+O51+O52</f>
        <v/>
      </c>
      <c r="G77" s="9" t="inlineStr">
        <is>
          <t>SUM</t>
        </is>
      </c>
      <c r="H77" s="16" t="inlineStr"/>
      <c r="I77" s="17" t="inlineStr"/>
    </row>
    <row r="78" ht="28" customHeight="1">
      <c r="A78" s="17" t="inlineStr"/>
      <c r="B78" s="18" t="inlineStr"/>
      <c r="C78" s="16" t="inlineStr"/>
      <c r="D78" s="16" t="inlineStr">
        <is>
          <t>Inventory Change Net Vol (BBLs)</t>
        </is>
      </c>
      <c r="E78" s="14" t="inlineStr">
        <is>
          <t>P</t>
        </is>
      </c>
      <c r="F78" s="8">
        <f>P43+P44+P45+P46+P47+P48+P49+P50+P51+P52</f>
        <v/>
      </c>
      <c r="G78" s="9" t="inlineStr">
        <is>
          <t>SUM</t>
        </is>
      </c>
      <c r="H78" s="16" t="inlineStr"/>
      <c r="I78" s="17" t="inlineStr"/>
    </row>
    <row r="79" ht="28" customHeight="1">
      <c r="A79" s="5" t="n">
        <v>9</v>
      </c>
      <c r="B79" s="6" t="inlineStr">
        <is>
          <t>Acc_DistillateStock</t>
        </is>
      </c>
      <c r="C79" s="7" t="inlineStr">
        <is>
          <t>Distillate Stock</t>
        </is>
      </c>
      <c r="D79" s="7" t="inlineStr">
        <is>
          <t>Opening Net Volume (BBLs)</t>
        </is>
      </c>
      <c r="E79" s="5" t="inlineStr">
        <is>
          <t>E</t>
        </is>
      </c>
      <c r="F79" s="8">
        <f>E55+E56</f>
        <v/>
      </c>
      <c r="G79" s="9" t="inlineStr">
        <is>
          <t>SUM</t>
        </is>
      </c>
      <c r="H79" s="7" t="inlineStr">
        <is>
          <t>TK957, TK958</t>
        </is>
      </c>
      <c r="I79" s="10" t="n">
        <v>2</v>
      </c>
    </row>
    <row r="80" ht="28" customHeight="1">
      <c r="A80" s="10" t="inlineStr"/>
      <c r="B80" s="11" t="inlineStr"/>
      <c r="C80" s="7" t="inlineStr"/>
      <c r="D80" s="7" t="inlineStr">
        <is>
          <t>Opening Gravity</t>
        </is>
      </c>
      <c r="E80" s="5" t="inlineStr">
        <is>
          <t>F</t>
        </is>
      </c>
      <c r="F80" s="12">
        <f>AVERAGE(F55,F56)</f>
        <v/>
      </c>
      <c r="G80" s="13" t="inlineStr">
        <is>
          <t>AVERAGE</t>
        </is>
      </c>
      <c r="H80" s="7" t="inlineStr"/>
      <c r="I80" s="10" t="inlineStr"/>
    </row>
    <row r="81" ht="28" customHeight="1">
      <c r="A81" s="10" t="inlineStr"/>
      <c r="B81" s="11" t="inlineStr"/>
      <c r="C81" s="7" t="inlineStr"/>
      <c r="D81" s="7" t="inlineStr">
        <is>
          <t>Closing Net Volume (BBLs)</t>
        </is>
      </c>
      <c r="E81" s="5" t="inlineStr">
        <is>
          <t>G</t>
        </is>
      </c>
      <c r="F81" s="8">
        <f>G55+G56</f>
        <v/>
      </c>
      <c r="G81" s="9" t="inlineStr">
        <is>
          <t>SUM</t>
        </is>
      </c>
      <c r="H81" s="7" t="inlineStr"/>
      <c r="I81" s="10" t="inlineStr"/>
    </row>
    <row r="82" ht="28" customHeight="1">
      <c r="A82" s="10" t="inlineStr"/>
      <c r="B82" s="11" t="inlineStr"/>
      <c r="C82" s="7" t="inlineStr"/>
      <c r="D82" s="7" t="inlineStr">
        <is>
          <t>Closing Gross Volume (BBLs)</t>
        </is>
      </c>
      <c r="E82" s="5" t="inlineStr">
        <is>
          <t>H</t>
        </is>
      </c>
      <c r="F82" s="8">
        <f>H55+H56</f>
        <v/>
      </c>
      <c r="G82" s="9" t="inlineStr">
        <is>
          <t>SUM</t>
        </is>
      </c>
      <c r="H82" s="7" t="inlineStr"/>
      <c r="I82" s="10" t="inlineStr"/>
    </row>
    <row r="83" ht="28" customHeight="1">
      <c r="A83" s="10" t="inlineStr"/>
      <c r="B83" s="11" t="inlineStr"/>
      <c r="C83" s="7" t="inlineStr"/>
      <c r="D83" s="7" t="inlineStr">
        <is>
          <t>Gravity (Closing)</t>
        </is>
      </c>
      <c r="E83" s="5" t="inlineStr">
        <is>
          <t>J</t>
        </is>
      </c>
      <c r="F83" s="12">
        <f>AVERAGE(J55,J56)</f>
        <v/>
      </c>
      <c r="G83" s="13" t="inlineStr">
        <is>
          <t>AVERAGE</t>
        </is>
      </c>
      <c r="H83" s="7" t="inlineStr"/>
      <c r="I83" s="10" t="inlineStr"/>
    </row>
    <row r="84" ht="28" customHeight="1">
      <c r="A84" s="10" t="inlineStr"/>
      <c r="B84" s="11" t="inlineStr"/>
      <c r="C84" s="7" t="inlineStr"/>
      <c r="D84" s="7" t="inlineStr">
        <is>
          <t>Total Water (BBLs)</t>
        </is>
      </c>
      <c r="E84" s="5" t="inlineStr">
        <is>
          <t>L</t>
        </is>
      </c>
      <c r="F84" s="8">
        <f>L55+L56</f>
        <v/>
      </c>
      <c r="G84" s="9" t="inlineStr">
        <is>
          <t>SUM</t>
        </is>
      </c>
      <c r="H84" s="7" t="inlineStr"/>
      <c r="I84" s="10" t="inlineStr"/>
    </row>
    <row r="85" ht="28" customHeight="1">
      <c r="A85" s="10" t="inlineStr"/>
      <c r="B85" s="11" t="inlineStr"/>
      <c r="C85" s="7" t="inlineStr"/>
      <c r="D85" s="7" t="inlineStr">
        <is>
          <t>Volume of Available Product (BBLs)</t>
        </is>
      </c>
      <c r="E85" s="5" t="inlineStr">
        <is>
          <t>N</t>
        </is>
      </c>
      <c r="F85" s="8">
        <f>N55+N56</f>
        <v/>
      </c>
      <c r="G85" s="9" t="inlineStr">
        <is>
          <t>SUM</t>
        </is>
      </c>
      <c r="H85" s="7" t="inlineStr"/>
      <c r="I85" s="10" t="inlineStr"/>
    </row>
    <row r="86" ht="28" customHeight="1">
      <c r="A86" s="10" t="inlineStr"/>
      <c r="B86" s="11" t="inlineStr"/>
      <c r="C86" s="7" t="inlineStr"/>
      <c r="D86" s="7" t="inlineStr">
        <is>
          <t>Remaining Capacity (BBLs)</t>
        </is>
      </c>
      <c r="E86" s="5" t="inlineStr">
        <is>
          <t>O</t>
        </is>
      </c>
      <c r="F86" s="8">
        <f>O55+O56</f>
        <v/>
      </c>
      <c r="G86" s="9" t="inlineStr">
        <is>
          <t>SUM</t>
        </is>
      </c>
      <c r="H86" s="7" t="inlineStr"/>
      <c r="I86" s="10" t="inlineStr"/>
    </row>
    <row r="87" ht="28" customHeight="1">
      <c r="A87" s="10" t="inlineStr"/>
      <c r="B87" s="11" t="inlineStr"/>
      <c r="C87" s="7" t="inlineStr"/>
      <c r="D87" s="7" t="inlineStr">
        <is>
          <t>Inventory Change Net Vol (BBLs)</t>
        </is>
      </c>
      <c r="E87" s="5" t="inlineStr">
        <is>
          <t>P</t>
        </is>
      </c>
      <c r="F87" s="8">
        <f>P55+P56</f>
        <v/>
      </c>
      <c r="G87" s="9" t="inlineStr">
        <is>
          <t>SUM</t>
        </is>
      </c>
      <c r="H87" s="7" t="inlineStr"/>
      <c r="I87" s="10" t="inlineStr"/>
    </row>
    <row r="88" ht="28" customHeight="1">
      <c r="A88" s="14" t="n">
        <v>10</v>
      </c>
      <c r="B88" s="15" t="inlineStr">
        <is>
          <t>Acc_ExportDiesel</t>
        </is>
      </c>
      <c r="C88" s="16" t="inlineStr">
        <is>
          <t>Export Diesel</t>
        </is>
      </c>
      <c r="D88" s="16" t="inlineStr">
        <is>
          <t>Opening Net Volume (BBLs)</t>
        </is>
      </c>
      <c r="E88" s="14" t="inlineStr">
        <is>
          <t>E</t>
        </is>
      </c>
      <c r="F88" s="8">
        <f>E59+E60+E61+E62+E63</f>
        <v/>
      </c>
      <c r="G88" s="9" t="inlineStr">
        <is>
          <t>SUM</t>
        </is>
      </c>
      <c r="H88" s="16" t="inlineStr">
        <is>
          <t>TK56, TK57, TK58, TK59, TK60</t>
        </is>
      </c>
      <c r="I88" s="17" t="n">
        <v>5</v>
      </c>
    </row>
    <row r="89" ht="28" customHeight="1">
      <c r="A89" s="17" t="inlineStr"/>
      <c r="B89" s="18" t="inlineStr"/>
      <c r="C89" s="16" t="inlineStr"/>
      <c r="D89" s="16" t="inlineStr">
        <is>
          <t>Opening Gravity</t>
        </is>
      </c>
      <c r="E89" s="14" t="inlineStr">
        <is>
          <t>F</t>
        </is>
      </c>
      <c r="F89" s="12">
        <f>AVERAGE(F59,F60,F61,F62,F63)</f>
        <v/>
      </c>
      <c r="G89" s="13" t="inlineStr">
        <is>
          <t>AVERAGE</t>
        </is>
      </c>
      <c r="H89" s="16" t="inlineStr"/>
      <c r="I89" s="17" t="inlineStr"/>
    </row>
    <row r="90" ht="28" customHeight="1">
      <c r="A90" s="17" t="inlineStr"/>
      <c r="B90" s="18" t="inlineStr"/>
      <c r="C90" s="16" t="inlineStr"/>
      <c r="D90" s="16" t="inlineStr">
        <is>
          <t>Closing Net Volume (BBLs)</t>
        </is>
      </c>
      <c r="E90" s="14" t="inlineStr">
        <is>
          <t>G</t>
        </is>
      </c>
      <c r="F90" s="8">
        <f>G59+G60+G61+G62+G63</f>
        <v/>
      </c>
      <c r="G90" s="9" t="inlineStr">
        <is>
          <t>SUM</t>
        </is>
      </c>
      <c r="H90" s="16" t="inlineStr"/>
      <c r="I90" s="17" t="inlineStr"/>
    </row>
    <row r="91" ht="28" customHeight="1">
      <c r="A91" s="17" t="inlineStr"/>
      <c r="B91" s="18" t="inlineStr"/>
      <c r="C91" s="16" t="inlineStr"/>
      <c r="D91" s="16" t="inlineStr">
        <is>
          <t>Closing Gross Volume (BBLs)</t>
        </is>
      </c>
      <c r="E91" s="14" t="inlineStr">
        <is>
          <t>H</t>
        </is>
      </c>
      <c r="F91" s="8">
        <f>H59+H60+H61+H62+H63</f>
        <v/>
      </c>
      <c r="G91" s="9" t="inlineStr">
        <is>
          <t>SUM</t>
        </is>
      </c>
      <c r="H91" s="16" t="inlineStr"/>
      <c r="I91" s="17" t="inlineStr"/>
    </row>
    <row r="92" ht="28" customHeight="1">
      <c r="A92" s="17" t="inlineStr"/>
      <c r="B92" s="18" t="inlineStr"/>
      <c r="C92" s="16" t="inlineStr"/>
      <c r="D92" s="16" t="inlineStr">
        <is>
          <t>Gravity (Closing)</t>
        </is>
      </c>
      <c r="E92" s="14" t="inlineStr">
        <is>
          <t>J</t>
        </is>
      </c>
      <c r="F92" s="12">
        <f>AVERAGE(J59,J60,J61,J62,J63)</f>
        <v/>
      </c>
      <c r="G92" s="13" t="inlineStr">
        <is>
          <t>AVERAGE</t>
        </is>
      </c>
      <c r="H92" s="16" t="inlineStr"/>
      <c r="I92" s="17" t="inlineStr"/>
    </row>
    <row r="93" ht="28" customHeight="1">
      <c r="A93" s="17" t="inlineStr"/>
      <c r="B93" s="18" t="inlineStr"/>
      <c r="C93" s="16" t="inlineStr"/>
      <c r="D93" s="16" t="inlineStr">
        <is>
          <t>Total Water (BBLs)</t>
        </is>
      </c>
      <c r="E93" s="14" t="inlineStr">
        <is>
          <t>L</t>
        </is>
      </c>
      <c r="F93" s="8">
        <f>L59+L60+L61+L62+L63</f>
        <v/>
      </c>
      <c r="G93" s="9" t="inlineStr">
        <is>
          <t>SUM</t>
        </is>
      </c>
      <c r="H93" s="16" t="inlineStr"/>
      <c r="I93" s="17" t="inlineStr"/>
    </row>
    <row r="94" ht="28" customHeight="1">
      <c r="A94" s="17" t="inlineStr"/>
      <c r="B94" s="18" t="inlineStr"/>
      <c r="C94" s="16" t="inlineStr"/>
      <c r="D94" s="16" t="inlineStr">
        <is>
          <t>Volume of Available Product (BBLs)</t>
        </is>
      </c>
      <c r="E94" s="14" t="inlineStr">
        <is>
          <t>N</t>
        </is>
      </c>
      <c r="F94" s="8">
        <f>N59+N60+N61+N62+N63</f>
        <v/>
      </c>
      <c r="G94" s="9" t="inlineStr">
        <is>
          <t>SUM</t>
        </is>
      </c>
      <c r="H94" s="16" t="inlineStr"/>
      <c r="I94" s="17" t="inlineStr"/>
    </row>
    <row r="95" ht="28" customHeight="1">
      <c r="A95" s="17" t="inlineStr"/>
      <c r="B95" s="18" t="inlineStr"/>
      <c r="C95" s="16" t="inlineStr"/>
      <c r="D95" s="16" t="inlineStr">
        <is>
          <t>Remaining Capacity (BBLs)</t>
        </is>
      </c>
      <c r="E95" s="14" t="inlineStr">
        <is>
          <t>O</t>
        </is>
      </c>
      <c r="F95" s="8">
        <f>O59+O60+O61+O62+O63</f>
        <v/>
      </c>
      <c r="G95" s="9" t="inlineStr">
        <is>
          <t>SUM</t>
        </is>
      </c>
      <c r="H95" s="16" t="inlineStr"/>
      <c r="I95" s="17" t="inlineStr"/>
    </row>
    <row r="96" ht="28" customHeight="1">
      <c r="A96" s="17" t="inlineStr"/>
      <c r="B96" s="18" t="inlineStr"/>
      <c r="C96" s="16" t="inlineStr"/>
      <c r="D96" s="16" t="inlineStr">
        <is>
          <t>Inventory Change Net Vol (BBLs)</t>
        </is>
      </c>
      <c r="E96" s="14" t="inlineStr">
        <is>
          <t>P</t>
        </is>
      </c>
      <c r="F96" s="8">
        <f>P59+P60+P61+P62+P63</f>
        <v/>
      </c>
      <c r="G96" s="9" t="inlineStr">
        <is>
          <t>SUM</t>
        </is>
      </c>
      <c r="H96" s="16" t="inlineStr"/>
      <c r="I96" s="17" t="inlineStr"/>
    </row>
    <row r="97" ht="28" customHeight="1">
      <c r="A97" s="5" t="n">
        <v>11</v>
      </c>
      <c r="B97" s="6" t="inlineStr">
        <is>
          <t>Acc_FuelOilBlndStck</t>
        </is>
      </c>
      <c r="C97" s="7" t="inlineStr">
        <is>
          <t>Fuel Oil Blend Stock</t>
        </is>
      </c>
      <c r="D97" s="7" t="inlineStr">
        <is>
          <t>Opening Net Volume (BBLs)</t>
        </is>
      </c>
      <c r="E97" s="5" t="inlineStr">
        <is>
          <t>E</t>
        </is>
      </c>
      <c r="F97" s="8">
        <f>E66+E67</f>
        <v/>
      </c>
      <c r="G97" s="9" t="inlineStr">
        <is>
          <t>SUM</t>
        </is>
      </c>
      <c r="H97" s="7" t="inlineStr">
        <is>
          <t>TK152, TK84</t>
        </is>
      </c>
      <c r="I97" s="10" t="n">
        <v>2</v>
      </c>
    </row>
    <row r="98" ht="28" customHeight="1">
      <c r="A98" s="10" t="inlineStr"/>
      <c r="B98" s="11" t="inlineStr"/>
      <c r="C98" s="7" t="inlineStr"/>
      <c r="D98" s="7" t="inlineStr">
        <is>
          <t>Opening Gravity</t>
        </is>
      </c>
      <c r="E98" s="5" t="inlineStr">
        <is>
          <t>F</t>
        </is>
      </c>
      <c r="F98" s="12">
        <f>AVERAGE(F66,F67)</f>
        <v/>
      </c>
      <c r="G98" s="13" t="inlineStr">
        <is>
          <t>AVERAGE</t>
        </is>
      </c>
      <c r="H98" s="7" t="inlineStr"/>
      <c r="I98" s="10" t="inlineStr"/>
    </row>
    <row r="99" ht="28" customHeight="1">
      <c r="A99" s="10" t="inlineStr"/>
      <c r="B99" s="11" t="inlineStr"/>
      <c r="C99" s="7" t="inlineStr"/>
      <c r="D99" s="7" t="inlineStr">
        <is>
          <t>Closing Net Volume (BBLs)</t>
        </is>
      </c>
      <c r="E99" s="5" t="inlineStr">
        <is>
          <t>G</t>
        </is>
      </c>
      <c r="F99" s="8">
        <f>G66+G67</f>
        <v/>
      </c>
      <c r="G99" s="9" t="inlineStr">
        <is>
          <t>SUM</t>
        </is>
      </c>
      <c r="H99" s="7" t="inlineStr"/>
      <c r="I99" s="10" t="inlineStr"/>
    </row>
    <row r="100" ht="28" customHeight="1">
      <c r="A100" s="10" t="inlineStr"/>
      <c r="B100" s="11" t="inlineStr"/>
      <c r="C100" s="7" t="inlineStr"/>
      <c r="D100" s="7" t="inlineStr">
        <is>
          <t>Closing Gross Volume (BBLs)</t>
        </is>
      </c>
      <c r="E100" s="5" t="inlineStr">
        <is>
          <t>H</t>
        </is>
      </c>
      <c r="F100" s="8">
        <f>H66+H67</f>
        <v/>
      </c>
      <c r="G100" s="9" t="inlineStr">
        <is>
          <t>SUM</t>
        </is>
      </c>
      <c r="H100" s="7" t="inlineStr"/>
      <c r="I100" s="10" t="inlineStr"/>
    </row>
    <row r="101" ht="28" customHeight="1">
      <c r="A101" s="10" t="inlineStr"/>
      <c r="B101" s="11" t="inlineStr"/>
      <c r="C101" s="7" t="inlineStr"/>
      <c r="D101" s="7" t="inlineStr">
        <is>
          <t>Gravity (Closing)</t>
        </is>
      </c>
      <c r="E101" s="5" t="inlineStr">
        <is>
          <t>J</t>
        </is>
      </c>
      <c r="F101" s="12">
        <f>AVERAGE(J66,J67)</f>
        <v/>
      </c>
      <c r="G101" s="13" t="inlineStr">
        <is>
          <t>AVERAGE</t>
        </is>
      </c>
      <c r="H101" s="7" t="inlineStr"/>
      <c r="I101" s="10" t="inlineStr"/>
    </row>
    <row r="102" ht="28" customHeight="1">
      <c r="A102" s="10" t="inlineStr"/>
      <c r="B102" s="11" t="inlineStr"/>
      <c r="C102" s="7" t="inlineStr"/>
      <c r="D102" s="7" t="inlineStr">
        <is>
          <t>Total Water (BBLs)</t>
        </is>
      </c>
      <c r="E102" s="5" t="inlineStr">
        <is>
          <t>L</t>
        </is>
      </c>
      <c r="F102" s="8">
        <f>L66+L67</f>
        <v/>
      </c>
      <c r="G102" s="9" t="inlineStr">
        <is>
          <t>SUM</t>
        </is>
      </c>
      <c r="H102" s="7" t="inlineStr"/>
      <c r="I102" s="10" t="inlineStr"/>
    </row>
    <row r="103" ht="28" customHeight="1">
      <c r="A103" s="10" t="inlineStr"/>
      <c r="B103" s="11" t="inlineStr"/>
      <c r="C103" s="7" t="inlineStr"/>
      <c r="D103" s="7" t="inlineStr">
        <is>
          <t>Volume of Available Product (BBLs)</t>
        </is>
      </c>
      <c r="E103" s="5" t="inlineStr">
        <is>
          <t>N</t>
        </is>
      </c>
      <c r="F103" s="8">
        <f>N66+N67</f>
        <v/>
      </c>
      <c r="G103" s="9" t="inlineStr">
        <is>
          <t>SUM</t>
        </is>
      </c>
      <c r="H103" s="7" t="inlineStr"/>
      <c r="I103" s="10" t="inlineStr"/>
    </row>
    <row r="104" ht="28" customHeight="1">
      <c r="A104" s="10" t="inlineStr"/>
      <c r="B104" s="11" t="inlineStr"/>
      <c r="C104" s="7" t="inlineStr"/>
      <c r="D104" s="7" t="inlineStr">
        <is>
          <t>Remaining Capacity (BBLs)</t>
        </is>
      </c>
      <c r="E104" s="5" t="inlineStr">
        <is>
          <t>O</t>
        </is>
      </c>
      <c r="F104" s="8">
        <f>O66+O67</f>
        <v/>
      </c>
      <c r="G104" s="9" t="inlineStr">
        <is>
          <t>SUM</t>
        </is>
      </c>
      <c r="H104" s="7" t="inlineStr"/>
      <c r="I104" s="10" t="inlineStr"/>
    </row>
    <row r="105" ht="28" customHeight="1">
      <c r="A105" s="10" t="inlineStr"/>
      <c r="B105" s="11" t="inlineStr"/>
      <c r="C105" s="7" t="inlineStr"/>
      <c r="D105" s="7" t="inlineStr">
        <is>
          <t>Inventory Change Net Vol (BBLs)</t>
        </is>
      </c>
      <c r="E105" s="5" t="inlineStr">
        <is>
          <t>P</t>
        </is>
      </c>
      <c r="F105" s="8">
        <f>P66+P67</f>
        <v/>
      </c>
      <c r="G105" s="9" t="inlineStr">
        <is>
          <t>SUM</t>
        </is>
      </c>
      <c r="H105" s="7" t="inlineStr"/>
      <c r="I105" s="10" t="inlineStr"/>
    </row>
    <row r="106" ht="28" customHeight="1">
      <c r="A106" s="14" t="n">
        <v>12</v>
      </c>
      <c r="B106" s="15" t="inlineStr">
        <is>
          <t>Acc_HighSulSlurry</t>
        </is>
      </c>
      <c r="C106" s="16" t="inlineStr">
        <is>
          <t>High Sulfur Slurry</t>
        </is>
      </c>
      <c r="D106" s="16" t="inlineStr">
        <is>
          <t>Opening Net Volume (BBLs)</t>
        </is>
      </c>
      <c r="E106" s="14" t="inlineStr">
        <is>
          <t>E</t>
        </is>
      </c>
      <c r="F106" s="8">
        <f>E70</f>
        <v/>
      </c>
      <c r="G106" s="9" t="inlineStr">
        <is>
          <t>SUM</t>
        </is>
      </c>
      <c r="H106" s="16" t="inlineStr">
        <is>
          <t>TK22</t>
        </is>
      </c>
      <c r="I106" s="17" t="n">
        <v>1</v>
      </c>
    </row>
    <row r="107" ht="28" customHeight="1">
      <c r="A107" s="17" t="inlineStr"/>
      <c r="B107" s="18" t="inlineStr"/>
      <c r="C107" s="16" t="inlineStr"/>
      <c r="D107" s="16" t="inlineStr">
        <is>
          <t>Opening Gravity</t>
        </is>
      </c>
      <c r="E107" s="14" t="inlineStr">
        <is>
          <t>F</t>
        </is>
      </c>
      <c r="F107" s="12">
        <f>AVERAGE(F70)</f>
        <v/>
      </c>
      <c r="G107" s="13" t="inlineStr">
        <is>
          <t>AVERAGE</t>
        </is>
      </c>
      <c r="H107" s="16" t="inlineStr"/>
      <c r="I107" s="17" t="inlineStr"/>
    </row>
    <row r="108" ht="28" customHeight="1">
      <c r="A108" s="17" t="inlineStr"/>
      <c r="B108" s="18" t="inlineStr"/>
      <c r="C108" s="16" t="inlineStr"/>
      <c r="D108" s="16" t="inlineStr">
        <is>
          <t>Closing Net Volume (BBLs)</t>
        </is>
      </c>
      <c r="E108" s="14" t="inlineStr">
        <is>
          <t>G</t>
        </is>
      </c>
      <c r="F108" s="8">
        <f>G70</f>
        <v/>
      </c>
      <c r="G108" s="9" t="inlineStr">
        <is>
          <t>SUM</t>
        </is>
      </c>
      <c r="H108" s="16" t="inlineStr"/>
      <c r="I108" s="17" t="inlineStr"/>
    </row>
    <row r="109" ht="28" customHeight="1">
      <c r="A109" s="17" t="inlineStr"/>
      <c r="B109" s="18" t="inlineStr"/>
      <c r="C109" s="16" t="inlineStr"/>
      <c r="D109" s="16" t="inlineStr">
        <is>
          <t>Closing Gross Volume (BBLs)</t>
        </is>
      </c>
      <c r="E109" s="14" t="inlineStr">
        <is>
          <t>H</t>
        </is>
      </c>
      <c r="F109" s="8">
        <f>H70</f>
        <v/>
      </c>
      <c r="G109" s="9" t="inlineStr">
        <is>
          <t>SUM</t>
        </is>
      </c>
      <c r="H109" s="16" t="inlineStr"/>
      <c r="I109" s="17" t="inlineStr"/>
    </row>
    <row r="110" ht="28" customHeight="1">
      <c r="A110" s="17" t="inlineStr"/>
      <c r="B110" s="18" t="inlineStr"/>
      <c r="C110" s="16" t="inlineStr"/>
      <c r="D110" s="16" t="inlineStr">
        <is>
          <t>Gravity (Closing)</t>
        </is>
      </c>
      <c r="E110" s="14" t="inlineStr">
        <is>
          <t>J</t>
        </is>
      </c>
      <c r="F110" s="12">
        <f>AVERAGE(J70)</f>
        <v/>
      </c>
      <c r="G110" s="13" t="inlineStr">
        <is>
          <t>AVERAGE</t>
        </is>
      </c>
      <c r="H110" s="16" t="inlineStr"/>
      <c r="I110" s="17" t="inlineStr"/>
    </row>
    <row r="111" ht="28" customHeight="1">
      <c r="A111" s="17" t="inlineStr"/>
      <c r="B111" s="18" t="inlineStr"/>
      <c r="C111" s="16" t="inlineStr"/>
      <c r="D111" s="16" t="inlineStr">
        <is>
          <t>Total Water (BBLs)</t>
        </is>
      </c>
      <c r="E111" s="14" t="inlineStr">
        <is>
          <t>L</t>
        </is>
      </c>
      <c r="F111" s="8">
        <f>L70</f>
        <v/>
      </c>
      <c r="G111" s="9" t="inlineStr">
        <is>
          <t>SUM</t>
        </is>
      </c>
      <c r="H111" s="16" t="inlineStr"/>
      <c r="I111" s="17" t="inlineStr"/>
    </row>
    <row r="112" ht="28" customHeight="1">
      <c r="A112" s="17" t="inlineStr"/>
      <c r="B112" s="18" t="inlineStr"/>
      <c r="C112" s="16" t="inlineStr"/>
      <c r="D112" s="16" t="inlineStr">
        <is>
          <t>Volume of Available Product (BBLs)</t>
        </is>
      </c>
      <c r="E112" s="14" t="inlineStr">
        <is>
          <t>N</t>
        </is>
      </c>
      <c r="F112" s="8">
        <f>N70</f>
        <v/>
      </c>
      <c r="G112" s="9" t="inlineStr">
        <is>
          <t>SUM</t>
        </is>
      </c>
      <c r="H112" s="16" t="inlineStr"/>
      <c r="I112" s="17" t="inlineStr"/>
    </row>
    <row r="113" ht="28" customHeight="1">
      <c r="A113" s="17" t="inlineStr"/>
      <c r="B113" s="18" t="inlineStr"/>
      <c r="C113" s="16" t="inlineStr"/>
      <c r="D113" s="16" t="inlineStr">
        <is>
          <t>Remaining Capacity (BBLs)</t>
        </is>
      </c>
      <c r="E113" s="14" t="inlineStr">
        <is>
          <t>O</t>
        </is>
      </c>
      <c r="F113" s="8">
        <f>O70</f>
        <v/>
      </c>
      <c r="G113" s="9" t="inlineStr">
        <is>
          <t>SUM</t>
        </is>
      </c>
      <c r="H113" s="16" t="inlineStr"/>
      <c r="I113" s="17" t="inlineStr"/>
    </row>
    <row r="114" ht="28" customHeight="1">
      <c r="A114" s="17" t="inlineStr"/>
      <c r="B114" s="18" t="inlineStr"/>
      <c r="C114" s="16" t="inlineStr"/>
      <c r="D114" s="16" t="inlineStr">
        <is>
          <t>Inventory Change Net Vol (BBLs)</t>
        </is>
      </c>
      <c r="E114" s="14" t="inlineStr">
        <is>
          <t>P</t>
        </is>
      </c>
      <c r="F114" s="8">
        <f>P70</f>
        <v/>
      </c>
      <c r="G114" s="9" t="inlineStr">
        <is>
          <t>SUM</t>
        </is>
      </c>
      <c r="H114" s="16" t="inlineStr"/>
      <c r="I114" s="17" t="inlineStr"/>
    </row>
    <row r="115" ht="28" customHeight="1">
      <c r="A115" s="5" t="n">
        <v>13</v>
      </c>
      <c r="B115" s="6" t="inlineStr">
        <is>
          <t>Acc_HSFO</t>
        </is>
      </c>
      <c r="C115" s="7" t="inlineStr">
        <is>
          <t>High Sulfur Fuel Oil</t>
        </is>
      </c>
      <c r="D115" s="7" t="inlineStr">
        <is>
          <t>Opening Net Volume (BBLs)</t>
        </is>
      </c>
      <c r="E115" s="5" t="inlineStr">
        <is>
          <t>E</t>
        </is>
      </c>
      <c r="F115" s="8">
        <f>E73</f>
        <v/>
      </c>
      <c r="G115" s="9" t="inlineStr">
        <is>
          <t>SUM</t>
        </is>
      </c>
      <c r="H115" s="7" t="inlineStr">
        <is>
          <t>TK23</t>
        </is>
      </c>
      <c r="I115" s="10" t="n">
        <v>1</v>
      </c>
    </row>
    <row r="116" ht="28" customHeight="1">
      <c r="A116" s="10" t="inlineStr"/>
      <c r="B116" s="11" t="inlineStr"/>
      <c r="C116" s="7" t="inlineStr"/>
      <c r="D116" s="7" t="inlineStr">
        <is>
          <t>Opening Gravity</t>
        </is>
      </c>
      <c r="E116" s="5" t="inlineStr">
        <is>
          <t>F</t>
        </is>
      </c>
      <c r="F116" s="12">
        <f>AVERAGE(F73)</f>
        <v/>
      </c>
      <c r="G116" s="13" t="inlineStr">
        <is>
          <t>AVERAGE</t>
        </is>
      </c>
      <c r="H116" s="7" t="inlineStr"/>
      <c r="I116" s="10" t="inlineStr"/>
    </row>
    <row r="117" ht="28" customHeight="1">
      <c r="A117" s="10" t="inlineStr"/>
      <c r="B117" s="11" t="inlineStr"/>
      <c r="C117" s="7" t="inlineStr"/>
      <c r="D117" s="7" t="inlineStr">
        <is>
          <t>Closing Net Volume (BBLs)</t>
        </is>
      </c>
      <c r="E117" s="5" t="inlineStr">
        <is>
          <t>G</t>
        </is>
      </c>
      <c r="F117" s="8">
        <f>G73</f>
        <v/>
      </c>
      <c r="G117" s="9" t="inlineStr">
        <is>
          <t>SUM</t>
        </is>
      </c>
      <c r="H117" s="7" t="inlineStr"/>
      <c r="I117" s="10" t="inlineStr"/>
    </row>
    <row r="118" ht="28" customHeight="1">
      <c r="A118" s="10" t="inlineStr"/>
      <c r="B118" s="11" t="inlineStr"/>
      <c r="C118" s="7" t="inlineStr"/>
      <c r="D118" s="7" t="inlineStr">
        <is>
          <t>Closing Gross Volume (BBLs)</t>
        </is>
      </c>
      <c r="E118" s="5" t="inlineStr">
        <is>
          <t>H</t>
        </is>
      </c>
      <c r="F118" s="8">
        <f>H73</f>
        <v/>
      </c>
      <c r="G118" s="9" t="inlineStr">
        <is>
          <t>SUM</t>
        </is>
      </c>
      <c r="H118" s="7" t="inlineStr"/>
      <c r="I118" s="10" t="inlineStr"/>
    </row>
    <row r="119" ht="28" customHeight="1">
      <c r="A119" s="10" t="inlineStr"/>
      <c r="B119" s="11" t="inlineStr"/>
      <c r="C119" s="7" t="inlineStr"/>
      <c r="D119" s="7" t="inlineStr">
        <is>
          <t>Gravity (Closing)</t>
        </is>
      </c>
      <c r="E119" s="5" t="inlineStr">
        <is>
          <t>J</t>
        </is>
      </c>
      <c r="F119" s="12">
        <f>AVERAGE(J73)</f>
        <v/>
      </c>
      <c r="G119" s="13" t="inlineStr">
        <is>
          <t>AVERAGE</t>
        </is>
      </c>
      <c r="H119" s="7" t="inlineStr"/>
      <c r="I119" s="10" t="inlineStr"/>
    </row>
    <row r="120" ht="28" customHeight="1">
      <c r="A120" s="10" t="inlineStr"/>
      <c r="B120" s="11" t="inlineStr"/>
      <c r="C120" s="7" t="inlineStr"/>
      <c r="D120" s="7" t="inlineStr">
        <is>
          <t>Total Water (BBLs)</t>
        </is>
      </c>
      <c r="E120" s="5" t="inlineStr">
        <is>
          <t>L</t>
        </is>
      </c>
      <c r="F120" s="8">
        <f>L73</f>
        <v/>
      </c>
      <c r="G120" s="9" t="inlineStr">
        <is>
          <t>SUM</t>
        </is>
      </c>
      <c r="H120" s="7" t="inlineStr"/>
      <c r="I120" s="10" t="inlineStr"/>
    </row>
    <row r="121" ht="28" customHeight="1">
      <c r="A121" s="10" t="inlineStr"/>
      <c r="B121" s="11" t="inlineStr"/>
      <c r="C121" s="7" t="inlineStr"/>
      <c r="D121" s="7" t="inlineStr">
        <is>
          <t>Volume of Available Product (BBLs)</t>
        </is>
      </c>
      <c r="E121" s="5" t="inlineStr">
        <is>
          <t>N</t>
        </is>
      </c>
      <c r="F121" s="8">
        <f>N73</f>
        <v/>
      </c>
      <c r="G121" s="9" t="inlineStr">
        <is>
          <t>SUM</t>
        </is>
      </c>
      <c r="H121" s="7" t="inlineStr"/>
      <c r="I121" s="10" t="inlineStr"/>
    </row>
    <row r="122" ht="28" customHeight="1">
      <c r="A122" s="10" t="inlineStr"/>
      <c r="B122" s="11" t="inlineStr"/>
      <c r="C122" s="7" t="inlineStr"/>
      <c r="D122" s="7" t="inlineStr">
        <is>
          <t>Remaining Capacity (BBLs)</t>
        </is>
      </c>
      <c r="E122" s="5" t="inlineStr">
        <is>
          <t>O</t>
        </is>
      </c>
      <c r="F122" s="8">
        <f>O73</f>
        <v/>
      </c>
      <c r="G122" s="9" t="inlineStr">
        <is>
          <t>SUM</t>
        </is>
      </c>
      <c r="H122" s="7" t="inlineStr"/>
      <c r="I122" s="10" t="inlineStr"/>
    </row>
    <row r="123" ht="28" customHeight="1">
      <c r="A123" s="10" t="inlineStr"/>
      <c r="B123" s="11" t="inlineStr"/>
      <c r="C123" s="7" t="inlineStr"/>
      <c r="D123" s="7" t="inlineStr">
        <is>
          <t>Inventory Change Net Vol (BBLs)</t>
        </is>
      </c>
      <c r="E123" s="5" t="inlineStr">
        <is>
          <t>P</t>
        </is>
      </c>
      <c r="F123" s="8">
        <f>P73</f>
        <v/>
      </c>
      <c r="G123" s="9" t="inlineStr">
        <is>
          <t>SUM</t>
        </is>
      </c>
      <c r="H123" s="7" t="inlineStr"/>
      <c r="I123" s="10" t="inlineStr"/>
    </row>
    <row r="124" ht="28" customHeight="1">
      <c r="A124" s="14" t="n">
        <v>14</v>
      </c>
      <c r="B124" s="15" t="inlineStr">
        <is>
          <t>Acc_HSVGO</t>
        </is>
      </c>
      <c r="C124" s="16" t="inlineStr">
        <is>
          <t>High Sulfur Vaccum Gas Oil</t>
        </is>
      </c>
      <c r="D124" s="16" t="inlineStr">
        <is>
          <t>Opening Net Volume (BBLs)</t>
        </is>
      </c>
      <c r="E124" s="14" t="inlineStr">
        <is>
          <t>E</t>
        </is>
      </c>
      <c r="F124" s="8">
        <f>E76+E77+E78+E79</f>
        <v/>
      </c>
      <c r="G124" s="9" t="inlineStr">
        <is>
          <t>SUM</t>
        </is>
      </c>
      <c r="H124" s="16" t="inlineStr">
        <is>
          <t>TK24, TK25, TK26, TK61</t>
        </is>
      </c>
      <c r="I124" s="17" t="n">
        <v>4</v>
      </c>
    </row>
    <row r="125" ht="28" customHeight="1">
      <c r="A125" s="17" t="inlineStr"/>
      <c r="B125" s="18" t="inlineStr"/>
      <c r="C125" s="16" t="inlineStr"/>
      <c r="D125" s="16" t="inlineStr">
        <is>
          <t>Opening Gravity</t>
        </is>
      </c>
      <c r="E125" s="14" t="inlineStr">
        <is>
          <t>F</t>
        </is>
      </c>
      <c r="F125" s="12">
        <f>AVERAGE(F76,F77,F78,F79)</f>
        <v/>
      </c>
      <c r="G125" s="13" t="inlineStr">
        <is>
          <t>AVERAGE</t>
        </is>
      </c>
      <c r="H125" s="16" t="inlineStr"/>
      <c r="I125" s="17" t="inlineStr"/>
    </row>
    <row r="126" ht="28" customHeight="1">
      <c r="A126" s="17" t="inlineStr"/>
      <c r="B126" s="18" t="inlineStr"/>
      <c r="C126" s="16" t="inlineStr"/>
      <c r="D126" s="16" t="inlineStr">
        <is>
          <t>Closing Net Volume (BBLs)</t>
        </is>
      </c>
      <c r="E126" s="14" t="inlineStr">
        <is>
          <t>G</t>
        </is>
      </c>
      <c r="F126" s="8">
        <f>G76+G77+G78+G79</f>
        <v/>
      </c>
      <c r="G126" s="9" t="inlineStr">
        <is>
          <t>SUM</t>
        </is>
      </c>
      <c r="H126" s="16" t="inlineStr"/>
      <c r="I126" s="17" t="inlineStr"/>
    </row>
    <row r="127" ht="28" customHeight="1">
      <c r="A127" s="17" t="inlineStr"/>
      <c r="B127" s="18" t="inlineStr"/>
      <c r="C127" s="16" t="inlineStr"/>
      <c r="D127" s="16" t="inlineStr">
        <is>
          <t>Closing Gross Volume (BBLs)</t>
        </is>
      </c>
      <c r="E127" s="14" t="inlineStr">
        <is>
          <t>H</t>
        </is>
      </c>
      <c r="F127" s="8">
        <f>H76+H77+H78+H79</f>
        <v/>
      </c>
      <c r="G127" s="9" t="inlineStr">
        <is>
          <t>SUM</t>
        </is>
      </c>
      <c r="H127" s="16" t="inlineStr"/>
      <c r="I127" s="17" t="inlineStr"/>
    </row>
    <row r="128" ht="28" customHeight="1">
      <c r="A128" s="17" t="inlineStr"/>
      <c r="B128" s="18" t="inlineStr"/>
      <c r="C128" s="16" t="inlineStr"/>
      <c r="D128" s="16" t="inlineStr">
        <is>
          <t>Gravity (Closing)</t>
        </is>
      </c>
      <c r="E128" s="14" t="inlineStr">
        <is>
          <t>J</t>
        </is>
      </c>
      <c r="F128" s="12">
        <f>AVERAGE(J76,J77,J78,J79)</f>
        <v/>
      </c>
      <c r="G128" s="13" t="inlineStr">
        <is>
          <t>AVERAGE</t>
        </is>
      </c>
      <c r="H128" s="16" t="inlineStr"/>
      <c r="I128" s="17" t="inlineStr"/>
    </row>
    <row r="129" ht="28" customHeight="1">
      <c r="A129" s="17" t="inlineStr"/>
      <c r="B129" s="18" t="inlineStr"/>
      <c r="C129" s="16" t="inlineStr"/>
      <c r="D129" s="16" t="inlineStr">
        <is>
          <t>Total Water (BBLs)</t>
        </is>
      </c>
      <c r="E129" s="14" t="inlineStr">
        <is>
          <t>L</t>
        </is>
      </c>
      <c r="F129" s="8">
        <f>L76+L77+L78+L79</f>
        <v/>
      </c>
      <c r="G129" s="9" t="inlineStr">
        <is>
          <t>SUM</t>
        </is>
      </c>
      <c r="H129" s="16" t="inlineStr"/>
      <c r="I129" s="17" t="inlineStr"/>
    </row>
    <row r="130" ht="28" customHeight="1">
      <c r="A130" s="17" t="inlineStr"/>
      <c r="B130" s="18" t="inlineStr"/>
      <c r="C130" s="16" t="inlineStr"/>
      <c r="D130" s="16" t="inlineStr">
        <is>
          <t>Volume of Available Product (BBLs)</t>
        </is>
      </c>
      <c r="E130" s="14" t="inlineStr">
        <is>
          <t>N</t>
        </is>
      </c>
      <c r="F130" s="8">
        <f>N76+N77+N78+N79</f>
        <v/>
      </c>
      <c r="G130" s="9" t="inlineStr">
        <is>
          <t>SUM</t>
        </is>
      </c>
      <c r="H130" s="16" t="inlineStr"/>
      <c r="I130" s="17" t="inlineStr"/>
    </row>
    <row r="131" ht="28" customHeight="1">
      <c r="A131" s="17" t="inlineStr"/>
      <c r="B131" s="18" t="inlineStr"/>
      <c r="C131" s="16" t="inlineStr"/>
      <c r="D131" s="16" t="inlineStr">
        <is>
          <t>Remaining Capacity (BBLs)</t>
        </is>
      </c>
      <c r="E131" s="14" t="inlineStr">
        <is>
          <t>O</t>
        </is>
      </c>
      <c r="F131" s="8">
        <f>O76+O77+O78+O79</f>
        <v/>
      </c>
      <c r="G131" s="9" t="inlineStr">
        <is>
          <t>SUM</t>
        </is>
      </c>
      <c r="H131" s="16" t="inlineStr"/>
      <c r="I131" s="17" t="inlineStr"/>
    </row>
    <row r="132" ht="28" customHeight="1">
      <c r="A132" s="17" t="inlineStr"/>
      <c r="B132" s="18" t="inlineStr"/>
      <c r="C132" s="16" t="inlineStr"/>
      <c r="D132" s="16" t="inlineStr">
        <is>
          <t>Inventory Change Net Vol (BBLs)</t>
        </is>
      </c>
      <c r="E132" s="14" t="inlineStr">
        <is>
          <t>P</t>
        </is>
      </c>
      <c r="F132" s="8">
        <f>P76+P77+P78+P79</f>
        <v/>
      </c>
      <c r="G132" s="9" t="inlineStr">
        <is>
          <t>SUM</t>
        </is>
      </c>
      <c r="H132" s="16" t="inlineStr"/>
      <c r="I132" s="17" t="inlineStr"/>
    </row>
    <row r="133" ht="28" customHeight="1">
      <c r="A133" s="5" t="n">
        <v>15</v>
      </c>
      <c r="B133" s="6" t="inlineStr">
        <is>
          <t>Acc_HvyCatGasoline</t>
        </is>
      </c>
      <c r="C133" s="7" t="inlineStr">
        <is>
          <t>Heavy Cat Gasoline</t>
        </is>
      </c>
      <c r="D133" s="7" t="inlineStr">
        <is>
          <t>Opening Net Volume (BBLs)</t>
        </is>
      </c>
      <c r="E133" s="5" t="inlineStr">
        <is>
          <t>E</t>
        </is>
      </c>
      <c r="F133" s="8">
        <f>E82</f>
        <v/>
      </c>
      <c r="G133" s="9" t="inlineStr">
        <is>
          <t>SUM</t>
        </is>
      </c>
      <c r="H133" s="7" t="inlineStr">
        <is>
          <t>TK71</t>
        </is>
      </c>
      <c r="I133" s="10" t="n">
        <v>1</v>
      </c>
    </row>
    <row r="134" ht="28" customHeight="1">
      <c r="A134" s="10" t="inlineStr"/>
      <c r="B134" s="11" t="inlineStr"/>
      <c r="C134" s="7" t="inlineStr"/>
      <c r="D134" s="7" t="inlineStr">
        <is>
          <t>Opening Gravity</t>
        </is>
      </c>
      <c r="E134" s="5" t="inlineStr">
        <is>
          <t>F</t>
        </is>
      </c>
      <c r="F134" s="12">
        <f>AVERAGE(F82)</f>
        <v/>
      </c>
      <c r="G134" s="13" t="inlineStr">
        <is>
          <t>AVERAGE</t>
        </is>
      </c>
      <c r="H134" s="7" t="inlineStr"/>
      <c r="I134" s="10" t="inlineStr"/>
    </row>
    <row r="135" ht="28" customHeight="1">
      <c r="A135" s="10" t="inlineStr"/>
      <c r="B135" s="11" t="inlineStr"/>
      <c r="C135" s="7" t="inlineStr"/>
      <c r="D135" s="7" t="inlineStr">
        <is>
          <t>Closing Net Volume (BBLs)</t>
        </is>
      </c>
      <c r="E135" s="5" t="inlineStr">
        <is>
          <t>G</t>
        </is>
      </c>
      <c r="F135" s="8">
        <f>G82</f>
        <v/>
      </c>
      <c r="G135" s="9" t="inlineStr">
        <is>
          <t>SUM</t>
        </is>
      </c>
      <c r="H135" s="7" t="inlineStr"/>
      <c r="I135" s="10" t="inlineStr"/>
    </row>
    <row r="136" ht="28" customHeight="1">
      <c r="A136" s="10" t="inlineStr"/>
      <c r="B136" s="11" t="inlineStr"/>
      <c r="C136" s="7" t="inlineStr"/>
      <c r="D136" s="7" t="inlineStr">
        <is>
          <t>Closing Gross Volume (BBLs)</t>
        </is>
      </c>
      <c r="E136" s="5" t="inlineStr">
        <is>
          <t>H</t>
        </is>
      </c>
      <c r="F136" s="8">
        <f>H82</f>
        <v/>
      </c>
      <c r="G136" s="9" t="inlineStr">
        <is>
          <t>SUM</t>
        </is>
      </c>
      <c r="H136" s="7" t="inlineStr"/>
      <c r="I136" s="10" t="inlineStr"/>
    </row>
    <row r="137" ht="28" customHeight="1">
      <c r="A137" s="10" t="inlineStr"/>
      <c r="B137" s="11" t="inlineStr"/>
      <c r="C137" s="7" t="inlineStr"/>
      <c r="D137" s="7" t="inlineStr">
        <is>
          <t>Gravity (Closing)</t>
        </is>
      </c>
      <c r="E137" s="5" t="inlineStr">
        <is>
          <t>J</t>
        </is>
      </c>
      <c r="F137" s="12">
        <f>AVERAGE(J82)</f>
        <v/>
      </c>
      <c r="G137" s="13" t="inlineStr">
        <is>
          <t>AVERAGE</t>
        </is>
      </c>
      <c r="H137" s="7" t="inlineStr"/>
      <c r="I137" s="10" t="inlineStr"/>
    </row>
    <row r="138" ht="28" customHeight="1">
      <c r="A138" s="10" t="inlineStr"/>
      <c r="B138" s="11" t="inlineStr"/>
      <c r="C138" s="7" t="inlineStr"/>
      <c r="D138" s="7" t="inlineStr">
        <is>
          <t>Total Water (BBLs)</t>
        </is>
      </c>
      <c r="E138" s="5" t="inlineStr">
        <is>
          <t>L</t>
        </is>
      </c>
      <c r="F138" s="8">
        <f>L82</f>
        <v/>
      </c>
      <c r="G138" s="9" t="inlineStr">
        <is>
          <t>SUM</t>
        </is>
      </c>
      <c r="H138" s="7" t="inlineStr"/>
      <c r="I138" s="10" t="inlineStr"/>
    </row>
    <row r="139" ht="28" customHeight="1">
      <c r="A139" s="10" t="inlineStr"/>
      <c r="B139" s="11" t="inlineStr"/>
      <c r="C139" s="7" t="inlineStr"/>
      <c r="D139" s="7" t="inlineStr">
        <is>
          <t>Volume of Available Product (BBLs)</t>
        </is>
      </c>
      <c r="E139" s="5" t="inlineStr">
        <is>
          <t>N</t>
        </is>
      </c>
      <c r="F139" s="8">
        <f>N82</f>
        <v/>
      </c>
      <c r="G139" s="9" t="inlineStr">
        <is>
          <t>SUM</t>
        </is>
      </c>
      <c r="H139" s="7" t="inlineStr"/>
      <c r="I139" s="10" t="inlineStr"/>
    </row>
    <row r="140" ht="28" customHeight="1">
      <c r="A140" s="10" t="inlineStr"/>
      <c r="B140" s="11" t="inlineStr"/>
      <c r="C140" s="7" t="inlineStr"/>
      <c r="D140" s="7" t="inlineStr">
        <is>
          <t>Remaining Capacity (BBLs)</t>
        </is>
      </c>
      <c r="E140" s="5" t="inlineStr">
        <is>
          <t>O</t>
        </is>
      </c>
      <c r="F140" s="8">
        <f>O82</f>
        <v/>
      </c>
      <c r="G140" s="9" t="inlineStr">
        <is>
          <t>SUM</t>
        </is>
      </c>
      <c r="H140" s="7" t="inlineStr"/>
      <c r="I140" s="10" t="inlineStr"/>
    </row>
    <row r="141" ht="28" customHeight="1">
      <c r="A141" s="10" t="inlineStr"/>
      <c r="B141" s="11" t="inlineStr"/>
      <c r="C141" s="7" t="inlineStr"/>
      <c r="D141" s="7" t="inlineStr">
        <is>
          <t>Inventory Change Net Vol (BBLs)</t>
        </is>
      </c>
      <c r="E141" s="5" t="inlineStr">
        <is>
          <t>P</t>
        </is>
      </c>
      <c r="F141" s="8">
        <f>P82</f>
        <v/>
      </c>
      <c r="G141" s="9" t="inlineStr">
        <is>
          <t>SUM</t>
        </is>
      </c>
      <c r="H141" s="7" t="inlineStr"/>
      <c r="I141" s="10" t="inlineStr"/>
    </row>
    <row r="142" ht="28" customHeight="1">
      <c r="A142" s="14" t="n">
        <v>16</v>
      </c>
      <c r="B142" s="15" t="inlineStr">
        <is>
          <t>Acc_Isobutane</t>
        </is>
      </c>
      <c r="C142" s="16" t="inlineStr">
        <is>
          <t>Isobutane</t>
        </is>
      </c>
      <c r="D142" s="16" t="inlineStr">
        <is>
          <t>Opening Net Volume (BBLs)</t>
        </is>
      </c>
      <c r="E142" s="14" t="inlineStr">
        <is>
          <t>E</t>
        </is>
      </c>
      <c r="F142" s="8">
        <f>E85+E86</f>
        <v/>
      </c>
      <c r="G142" s="9" t="inlineStr">
        <is>
          <t>SUM</t>
        </is>
      </c>
      <c r="H142" s="16" t="inlineStr">
        <is>
          <t>TK88, TK89</t>
        </is>
      </c>
      <c r="I142" s="17" t="n">
        <v>2</v>
      </c>
    </row>
    <row r="143" ht="28" customHeight="1">
      <c r="A143" s="17" t="inlineStr"/>
      <c r="B143" s="18" t="inlineStr"/>
      <c r="C143" s="16" t="inlineStr"/>
      <c r="D143" s="16" t="inlineStr">
        <is>
          <t>Opening Gravity</t>
        </is>
      </c>
      <c r="E143" s="14" t="inlineStr">
        <is>
          <t>F</t>
        </is>
      </c>
      <c r="F143" s="12">
        <f>AVERAGE(F85,F86)</f>
        <v/>
      </c>
      <c r="G143" s="13" t="inlineStr">
        <is>
          <t>AVERAGE</t>
        </is>
      </c>
      <c r="H143" s="16" t="inlineStr"/>
      <c r="I143" s="17" t="inlineStr"/>
    </row>
    <row r="144" ht="28" customHeight="1">
      <c r="A144" s="17" t="inlineStr"/>
      <c r="B144" s="18" t="inlineStr"/>
      <c r="C144" s="16" t="inlineStr"/>
      <c r="D144" s="16" t="inlineStr">
        <is>
          <t>Closing Net Volume (BBLs)</t>
        </is>
      </c>
      <c r="E144" s="14" t="inlineStr">
        <is>
          <t>G</t>
        </is>
      </c>
      <c r="F144" s="8">
        <f>G85+G86</f>
        <v/>
      </c>
      <c r="G144" s="9" t="inlineStr">
        <is>
          <t>SUM</t>
        </is>
      </c>
      <c r="H144" s="16" t="inlineStr"/>
      <c r="I144" s="17" t="inlineStr"/>
    </row>
    <row r="145" ht="28" customHeight="1">
      <c r="A145" s="17" t="inlineStr"/>
      <c r="B145" s="18" t="inlineStr"/>
      <c r="C145" s="16" t="inlineStr"/>
      <c r="D145" s="16" t="inlineStr">
        <is>
          <t>Closing Gross Volume (BBLs)</t>
        </is>
      </c>
      <c r="E145" s="14" t="inlineStr">
        <is>
          <t>H</t>
        </is>
      </c>
      <c r="F145" s="8">
        <f>H85+H86</f>
        <v/>
      </c>
      <c r="G145" s="9" t="inlineStr">
        <is>
          <t>SUM</t>
        </is>
      </c>
      <c r="H145" s="16" t="inlineStr"/>
      <c r="I145" s="17" t="inlineStr"/>
    </row>
    <row r="146" ht="28" customHeight="1">
      <c r="A146" s="17" t="inlineStr"/>
      <c r="B146" s="18" t="inlineStr"/>
      <c r="C146" s="16" t="inlineStr"/>
      <c r="D146" s="16" t="inlineStr">
        <is>
          <t>Gravity (Closing)</t>
        </is>
      </c>
      <c r="E146" s="14" t="inlineStr">
        <is>
          <t>J</t>
        </is>
      </c>
      <c r="F146" s="12">
        <f>AVERAGE(J85,J86)</f>
        <v/>
      </c>
      <c r="G146" s="13" t="inlineStr">
        <is>
          <t>AVERAGE</t>
        </is>
      </c>
      <c r="H146" s="16" t="inlineStr"/>
      <c r="I146" s="17" t="inlineStr"/>
    </row>
    <row r="147" ht="28" customHeight="1">
      <c r="A147" s="17" t="inlineStr"/>
      <c r="B147" s="18" t="inlineStr"/>
      <c r="C147" s="16" t="inlineStr"/>
      <c r="D147" s="16" t="inlineStr">
        <is>
          <t>Total Water (BBLs)</t>
        </is>
      </c>
      <c r="E147" s="14" t="inlineStr">
        <is>
          <t>L</t>
        </is>
      </c>
      <c r="F147" s="8">
        <f>L85+L86</f>
        <v/>
      </c>
      <c r="G147" s="9" t="inlineStr">
        <is>
          <t>SUM</t>
        </is>
      </c>
      <c r="H147" s="16" t="inlineStr"/>
      <c r="I147" s="17" t="inlineStr"/>
    </row>
    <row r="148" ht="28" customHeight="1">
      <c r="A148" s="17" t="inlineStr"/>
      <c r="B148" s="18" t="inlineStr"/>
      <c r="C148" s="16" t="inlineStr"/>
      <c r="D148" s="16" t="inlineStr">
        <is>
          <t>Volume of Available Product (BBLs)</t>
        </is>
      </c>
      <c r="E148" s="14" t="inlineStr">
        <is>
          <t>N</t>
        </is>
      </c>
      <c r="F148" s="8">
        <f>N85+N86</f>
        <v/>
      </c>
      <c r="G148" s="9" t="inlineStr">
        <is>
          <t>SUM</t>
        </is>
      </c>
      <c r="H148" s="16" t="inlineStr"/>
      <c r="I148" s="17" t="inlineStr"/>
    </row>
    <row r="149" ht="28" customHeight="1">
      <c r="A149" s="17" t="inlineStr"/>
      <c r="B149" s="18" t="inlineStr"/>
      <c r="C149" s="16" t="inlineStr"/>
      <c r="D149" s="16" t="inlineStr">
        <is>
          <t>Remaining Capacity (BBLs)</t>
        </is>
      </c>
      <c r="E149" s="14" t="inlineStr">
        <is>
          <t>O</t>
        </is>
      </c>
      <c r="F149" s="8">
        <f>O85+O86</f>
        <v/>
      </c>
      <c r="G149" s="9" t="inlineStr">
        <is>
          <t>SUM</t>
        </is>
      </c>
      <c r="H149" s="16" t="inlineStr"/>
      <c r="I149" s="17" t="inlineStr"/>
    </row>
    <row r="150" ht="28" customHeight="1">
      <c r="A150" s="17" t="inlineStr"/>
      <c r="B150" s="18" t="inlineStr"/>
      <c r="C150" s="16" t="inlineStr"/>
      <c r="D150" s="16" t="inlineStr">
        <is>
          <t>Inventory Change Net Vol (BBLs)</t>
        </is>
      </c>
      <c r="E150" s="14" t="inlineStr">
        <is>
          <t>P</t>
        </is>
      </c>
      <c r="F150" s="8">
        <f>P85+P86</f>
        <v/>
      </c>
      <c r="G150" s="9" t="inlineStr">
        <is>
          <t>SUM</t>
        </is>
      </c>
      <c r="H150" s="16" t="inlineStr"/>
      <c r="I150" s="17" t="inlineStr"/>
    </row>
    <row r="151" ht="28" customHeight="1">
      <c r="A151" s="5" t="n">
        <v>17</v>
      </c>
      <c r="B151" s="6" t="inlineStr">
        <is>
          <t>Acc_Isomerate</t>
        </is>
      </c>
      <c r="C151" s="7" t="inlineStr">
        <is>
          <t>Isomerate</t>
        </is>
      </c>
      <c r="D151" s="7" t="inlineStr">
        <is>
          <t>Opening Net Volume (BBLs)</t>
        </is>
      </c>
      <c r="E151" s="5" t="inlineStr">
        <is>
          <t>E</t>
        </is>
      </c>
      <c r="F151" s="8">
        <f>E89+E90</f>
        <v/>
      </c>
      <c r="G151" s="9" t="inlineStr">
        <is>
          <t>SUM</t>
        </is>
      </c>
      <c r="H151" s="7" t="inlineStr">
        <is>
          <t>TK69, TK70</t>
        </is>
      </c>
      <c r="I151" s="10" t="n">
        <v>2</v>
      </c>
    </row>
    <row r="152" ht="28" customHeight="1">
      <c r="A152" s="10" t="inlineStr"/>
      <c r="B152" s="11" t="inlineStr"/>
      <c r="C152" s="7" t="inlineStr"/>
      <c r="D152" s="7" t="inlineStr">
        <is>
          <t>Opening Gravity</t>
        </is>
      </c>
      <c r="E152" s="5" t="inlineStr">
        <is>
          <t>F</t>
        </is>
      </c>
      <c r="F152" s="12">
        <f>AVERAGE(F89,F90)</f>
        <v/>
      </c>
      <c r="G152" s="13" t="inlineStr">
        <is>
          <t>AVERAGE</t>
        </is>
      </c>
      <c r="H152" s="7" t="inlineStr"/>
      <c r="I152" s="10" t="inlineStr"/>
    </row>
    <row r="153" ht="28" customHeight="1">
      <c r="A153" s="10" t="inlineStr"/>
      <c r="B153" s="11" t="inlineStr"/>
      <c r="C153" s="7" t="inlineStr"/>
      <c r="D153" s="7" t="inlineStr">
        <is>
          <t>Closing Net Volume (BBLs)</t>
        </is>
      </c>
      <c r="E153" s="5" t="inlineStr">
        <is>
          <t>G</t>
        </is>
      </c>
      <c r="F153" s="8">
        <f>G89+G90</f>
        <v/>
      </c>
      <c r="G153" s="9" t="inlineStr">
        <is>
          <t>SUM</t>
        </is>
      </c>
      <c r="H153" s="7" t="inlineStr"/>
      <c r="I153" s="10" t="inlineStr"/>
    </row>
    <row r="154" ht="28" customHeight="1">
      <c r="A154" s="10" t="inlineStr"/>
      <c r="B154" s="11" t="inlineStr"/>
      <c r="C154" s="7" t="inlineStr"/>
      <c r="D154" s="7" t="inlineStr">
        <is>
          <t>Closing Gross Volume (BBLs)</t>
        </is>
      </c>
      <c r="E154" s="5" t="inlineStr">
        <is>
          <t>H</t>
        </is>
      </c>
      <c r="F154" s="8">
        <f>H89+H90</f>
        <v/>
      </c>
      <c r="G154" s="9" t="inlineStr">
        <is>
          <t>SUM</t>
        </is>
      </c>
      <c r="H154" s="7" t="inlineStr"/>
      <c r="I154" s="10" t="inlineStr"/>
    </row>
    <row r="155" ht="28" customHeight="1">
      <c r="A155" s="10" t="inlineStr"/>
      <c r="B155" s="11" t="inlineStr"/>
      <c r="C155" s="7" t="inlineStr"/>
      <c r="D155" s="7" t="inlineStr">
        <is>
          <t>Gravity (Closing)</t>
        </is>
      </c>
      <c r="E155" s="5" t="inlineStr">
        <is>
          <t>J</t>
        </is>
      </c>
      <c r="F155" s="12">
        <f>AVERAGE(J89,J90)</f>
        <v/>
      </c>
      <c r="G155" s="13" t="inlineStr">
        <is>
          <t>AVERAGE</t>
        </is>
      </c>
      <c r="H155" s="7" t="inlineStr"/>
      <c r="I155" s="10" t="inlineStr"/>
    </row>
    <row r="156" ht="28" customHeight="1">
      <c r="A156" s="10" t="inlineStr"/>
      <c r="B156" s="11" t="inlineStr"/>
      <c r="C156" s="7" t="inlineStr"/>
      <c r="D156" s="7" t="inlineStr">
        <is>
          <t>Total Water (BBLs)</t>
        </is>
      </c>
      <c r="E156" s="5" t="inlineStr">
        <is>
          <t>L</t>
        </is>
      </c>
      <c r="F156" s="8">
        <f>L89+L90</f>
        <v/>
      </c>
      <c r="G156" s="9" t="inlineStr">
        <is>
          <t>SUM</t>
        </is>
      </c>
      <c r="H156" s="7" t="inlineStr"/>
      <c r="I156" s="10" t="inlineStr"/>
    </row>
    <row r="157" ht="28" customHeight="1">
      <c r="A157" s="10" t="inlineStr"/>
      <c r="B157" s="11" t="inlineStr"/>
      <c r="C157" s="7" t="inlineStr"/>
      <c r="D157" s="7" t="inlineStr">
        <is>
          <t>Volume of Available Product (BBLs)</t>
        </is>
      </c>
      <c r="E157" s="5" t="inlineStr">
        <is>
          <t>N</t>
        </is>
      </c>
      <c r="F157" s="8">
        <f>N89+N90</f>
        <v/>
      </c>
      <c r="G157" s="9" t="inlineStr">
        <is>
          <t>SUM</t>
        </is>
      </c>
      <c r="H157" s="7" t="inlineStr"/>
      <c r="I157" s="10" t="inlineStr"/>
    </row>
    <row r="158" ht="28" customHeight="1">
      <c r="A158" s="10" t="inlineStr"/>
      <c r="B158" s="11" t="inlineStr"/>
      <c r="C158" s="7" t="inlineStr"/>
      <c r="D158" s="7" t="inlineStr">
        <is>
          <t>Remaining Capacity (BBLs)</t>
        </is>
      </c>
      <c r="E158" s="5" t="inlineStr">
        <is>
          <t>O</t>
        </is>
      </c>
      <c r="F158" s="8">
        <f>O89+O90</f>
        <v/>
      </c>
      <c r="G158" s="9" t="inlineStr">
        <is>
          <t>SUM</t>
        </is>
      </c>
      <c r="H158" s="7" t="inlineStr"/>
      <c r="I158" s="10" t="inlineStr"/>
    </row>
    <row r="159" ht="28" customHeight="1">
      <c r="A159" s="10" t="inlineStr"/>
      <c r="B159" s="11" t="inlineStr"/>
      <c r="C159" s="7" t="inlineStr"/>
      <c r="D159" s="7" t="inlineStr">
        <is>
          <t>Inventory Change Net Vol (BBLs)</t>
        </is>
      </c>
      <c r="E159" s="5" t="inlineStr">
        <is>
          <t>P</t>
        </is>
      </c>
      <c r="F159" s="8">
        <f>P89+P90</f>
        <v/>
      </c>
      <c r="G159" s="9" t="inlineStr">
        <is>
          <t>SUM</t>
        </is>
      </c>
      <c r="H159" s="7" t="inlineStr"/>
      <c r="I159" s="10" t="inlineStr"/>
    </row>
    <row r="160" ht="28" customHeight="1">
      <c r="A160" s="14" t="n">
        <v>18</v>
      </c>
      <c r="B160" s="15" t="inlineStr">
        <is>
          <t>Acc_JetBlendstock</t>
        </is>
      </c>
      <c r="C160" s="16" t="inlineStr">
        <is>
          <t>Jet fuel Blendstock</t>
        </is>
      </c>
      <c r="D160" s="16" t="inlineStr">
        <is>
          <t>Opening Net Volume (BBLs)</t>
        </is>
      </c>
      <c r="E160" s="14" t="inlineStr">
        <is>
          <t>E</t>
        </is>
      </c>
      <c r="F160" s="8">
        <f>E93</f>
        <v/>
      </c>
      <c r="G160" s="9" t="inlineStr">
        <is>
          <t>SUM</t>
        </is>
      </c>
      <c r="H160" s="16" t="inlineStr">
        <is>
          <t>TK4</t>
        </is>
      </c>
      <c r="I160" s="17" t="n">
        <v>1</v>
      </c>
    </row>
    <row r="161" ht="28" customHeight="1">
      <c r="A161" s="17" t="inlineStr"/>
      <c r="B161" s="18" t="inlineStr"/>
      <c r="C161" s="16" t="inlineStr"/>
      <c r="D161" s="16" t="inlineStr">
        <is>
          <t>Opening Gravity</t>
        </is>
      </c>
      <c r="E161" s="14" t="inlineStr">
        <is>
          <t>F</t>
        </is>
      </c>
      <c r="F161" s="12">
        <f>AVERAGE(F93)</f>
        <v/>
      </c>
      <c r="G161" s="13" t="inlineStr">
        <is>
          <t>AVERAGE</t>
        </is>
      </c>
      <c r="H161" s="16" t="inlineStr"/>
      <c r="I161" s="17" t="inlineStr"/>
    </row>
    <row r="162" ht="28" customHeight="1">
      <c r="A162" s="17" t="inlineStr"/>
      <c r="B162" s="18" t="inlineStr"/>
      <c r="C162" s="16" t="inlineStr"/>
      <c r="D162" s="16" t="inlineStr">
        <is>
          <t>Closing Net Volume (BBLs)</t>
        </is>
      </c>
      <c r="E162" s="14" t="inlineStr">
        <is>
          <t>G</t>
        </is>
      </c>
      <c r="F162" s="8">
        <f>G93</f>
        <v/>
      </c>
      <c r="G162" s="9" t="inlineStr">
        <is>
          <t>SUM</t>
        </is>
      </c>
      <c r="H162" s="16" t="inlineStr"/>
      <c r="I162" s="17" t="inlineStr"/>
    </row>
    <row r="163" ht="28" customHeight="1">
      <c r="A163" s="17" t="inlineStr"/>
      <c r="B163" s="18" t="inlineStr"/>
      <c r="C163" s="16" t="inlineStr"/>
      <c r="D163" s="16" t="inlineStr">
        <is>
          <t>Closing Gross Volume (BBLs)</t>
        </is>
      </c>
      <c r="E163" s="14" t="inlineStr">
        <is>
          <t>H</t>
        </is>
      </c>
      <c r="F163" s="8">
        <f>H93</f>
        <v/>
      </c>
      <c r="G163" s="9" t="inlineStr">
        <is>
          <t>SUM</t>
        </is>
      </c>
      <c r="H163" s="16" t="inlineStr"/>
      <c r="I163" s="17" t="inlineStr"/>
    </row>
    <row r="164" ht="28" customHeight="1">
      <c r="A164" s="17" t="inlineStr"/>
      <c r="B164" s="18" t="inlineStr"/>
      <c r="C164" s="16" t="inlineStr"/>
      <c r="D164" s="16" t="inlineStr">
        <is>
          <t>Gravity (Closing)</t>
        </is>
      </c>
      <c r="E164" s="14" t="inlineStr">
        <is>
          <t>J</t>
        </is>
      </c>
      <c r="F164" s="12">
        <f>AVERAGE(J93)</f>
        <v/>
      </c>
      <c r="G164" s="13" t="inlineStr">
        <is>
          <t>AVERAGE</t>
        </is>
      </c>
      <c r="H164" s="16" t="inlineStr"/>
      <c r="I164" s="17" t="inlineStr"/>
    </row>
    <row r="165" ht="28" customHeight="1">
      <c r="A165" s="17" t="inlineStr"/>
      <c r="B165" s="18" t="inlineStr"/>
      <c r="C165" s="16" t="inlineStr"/>
      <c r="D165" s="16" t="inlineStr">
        <is>
          <t>Total Water (BBLs)</t>
        </is>
      </c>
      <c r="E165" s="14" t="inlineStr">
        <is>
          <t>L</t>
        </is>
      </c>
      <c r="F165" s="8">
        <f>L93</f>
        <v/>
      </c>
      <c r="G165" s="9" t="inlineStr">
        <is>
          <t>SUM</t>
        </is>
      </c>
      <c r="H165" s="16" t="inlineStr"/>
      <c r="I165" s="17" t="inlineStr"/>
    </row>
    <row r="166" ht="28" customHeight="1">
      <c r="A166" s="17" t="inlineStr"/>
      <c r="B166" s="18" t="inlineStr"/>
      <c r="C166" s="16" t="inlineStr"/>
      <c r="D166" s="16" t="inlineStr">
        <is>
          <t>Volume of Available Product (BBLs)</t>
        </is>
      </c>
      <c r="E166" s="14" t="inlineStr">
        <is>
          <t>N</t>
        </is>
      </c>
      <c r="F166" s="8">
        <f>N93</f>
        <v/>
      </c>
      <c r="G166" s="9" t="inlineStr">
        <is>
          <t>SUM</t>
        </is>
      </c>
      <c r="H166" s="16" t="inlineStr"/>
      <c r="I166" s="17" t="inlineStr"/>
    </row>
    <row r="167" ht="28" customHeight="1">
      <c r="A167" s="17" t="inlineStr"/>
      <c r="B167" s="18" t="inlineStr"/>
      <c r="C167" s="16" t="inlineStr"/>
      <c r="D167" s="16" t="inlineStr">
        <is>
          <t>Remaining Capacity (BBLs)</t>
        </is>
      </c>
      <c r="E167" s="14" t="inlineStr">
        <is>
          <t>O</t>
        </is>
      </c>
      <c r="F167" s="8">
        <f>O93</f>
        <v/>
      </c>
      <c r="G167" s="9" t="inlineStr">
        <is>
          <t>SUM</t>
        </is>
      </c>
      <c r="H167" s="16" t="inlineStr"/>
      <c r="I167" s="17" t="inlineStr"/>
    </row>
    <row r="168" ht="28" customHeight="1">
      <c r="A168" s="17" t="inlineStr"/>
      <c r="B168" s="18" t="inlineStr"/>
      <c r="C168" s="16" t="inlineStr"/>
      <c r="D168" s="16" t="inlineStr">
        <is>
          <t>Inventory Change Net Vol (BBLs)</t>
        </is>
      </c>
      <c r="E168" s="14" t="inlineStr">
        <is>
          <t>P</t>
        </is>
      </c>
      <c r="F168" s="8">
        <f>P93</f>
        <v/>
      </c>
      <c r="G168" s="9" t="inlineStr">
        <is>
          <t>SUM</t>
        </is>
      </c>
      <c r="H168" s="16" t="inlineStr"/>
      <c r="I168" s="17" t="inlineStr"/>
    </row>
    <row r="169" ht="28" customHeight="1">
      <c r="A169" s="5" t="n">
        <v>19</v>
      </c>
      <c r="B169" s="6" t="inlineStr">
        <is>
          <t>Acc_JetFuel</t>
        </is>
      </c>
      <c r="C169" s="7" t="inlineStr">
        <is>
          <t>Jet Fuel</t>
        </is>
      </c>
      <c r="D169" s="7" t="inlineStr">
        <is>
          <t>Opening Net Volume (BBLs)</t>
        </is>
      </c>
      <c r="E169" s="5" t="inlineStr">
        <is>
          <t>E</t>
        </is>
      </c>
      <c r="F169" s="8">
        <f>E96+E97+E98+E99+E100+E101</f>
        <v/>
      </c>
      <c r="G169" s="9" t="inlineStr">
        <is>
          <t>SUM</t>
        </is>
      </c>
      <c r="H169" s="7" t="inlineStr">
        <is>
          <t>TK32, TK33, TK34, TK40, TK44, TK49</t>
        </is>
      </c>
      <c r="I169" s="10" t="n">
        <v>6</v>
      </c>
    </row>
    <row r="170" ht="28" customHeight="1">
      <c r="A170" s="10" t="inlineStr"/>
      <c r="B170" s="11" t="inlineStr"/>
      <c r="C170" s="7" t="inlineStr"/>
      <c r="D170" s="7" t="inlineStr">
        <is>
          <t>Opening Gravity</t>
        </is>
      </c>
      <c r="E170" s="5" t="inlineStr">
        <is>
          <t>F</t>
        </is>
      </c>
      <c r="F170" s="12">
        <f>AVERAGE(F96,F97,F98,F99,F100,F101)</f>
        <v/>
      </c>
      <c r="G170" s="13" t="inlineStr">
        <is>
          <t>AVERAGE</t>
        </is>
      </c>
      <c r="H170" s="7" t="inlineStr"/>
      <c r="I170" s="10" t="inlineStr"/>
    </row>
    <row r="171" ht="28" customHeight="1">
      <c r="A171" s="10" t="inlineStr"/>
      <c r="B171" s="11" t="inlineStr"/>
      <c r="C171" s="7" t="inlineStr"/>
      <c r="D171" s="7" t="inlineStr">
        <is>
          <t>Closing Net Volume (BBLs)</t>
        </is>
      </c>
      <c r="E171" s="5" t="inlineStr">
        <is>
          <t>G</t>
        </is>
      </c>
      <c r="F171" s="8">
        <f>G96+G97+G98+G99+G100+G101</f>
        <v/>
      </c>
      <c r="G171" s="9" t="inlineStr">
        <is>
          <t>SUM</t>
        </is>
      </c>
      <c r="H171" s="7" t="inlineStr"/>
      <c r="I171" s="10" t="inlineStr"/>
    </row>
    <row r="172" ht="28" customHeight="1">
      <c r="A172" s="10" t="inlineStr"/>
      <c r="B172" s="11" t="inlineStr"/>
      <c r="C172" s="7" t="inlineStr"/>
      <c r="D172" s="7" t="inlineStr">
        <is>
          <t>Closing Gross Volume (BBLs)</t>
        </is>
      </c>
      <c r="E172" s="5" t="inlineStr">
        <is>
          <t>H</t>
        </is>
      </c>
      <c r="F172" s="8">
        <f>H96+H97+H98+H99+H100+H101</f>
        <v/>
      </c>
      <c r="G172" s="9" t="inlineStr">
        <is>
          <t>SUM</t>
        </is>
      </c>
      <c r="H172" s="7" t="inlineStr"/>
      <c r="I172" s="10" t="inlineStr"/>
    </row>
    <row r="173" ht="28" customHeight="1">
      <c r="A173" s="10" t="inlineStr"/>
      <c r="B173" s="11" t="inlineStr"/>
      <c r="C173" s="7" t="inlineStr"/>
      <c r="D173" s="7" t="inlineStr">
        <is>
          <t>Gravity (Closing)</t>
        </is>
      </c>
      <c r="E173" s="5" t="inlineStr">
        <is>
          <t>J</t>
        </is>
      </c>
      <c r="F173" s="12">
        <f>AVERAGE(J96,J97,J98,J99,J100,J101)</f>
        <v/>
      </c>
      <c r="G173" s="13" t="inlineStr">
        <is>
          <t>AVERAGE</t>
        </is>
      </c>
      <c r="H173" s="7" t="inlineStr"/>
      <c r="I173" s="10" t="inlineStr"/>
    </row>
    <row r="174" ht="28" customHeight="1">
      <c r="A174" s="10" t="inlineStr"/>
      <c r="B174" s="11" t="inlineStr"/>
      <c r="C174" s="7" t="inlineStr"/>
      <c r="D174" s="7" t="inlineStr">
        <is>
          <t>Total Water (BBLs)</t>
        </is>
      </c>
      <c r="E174" s="5" t="inlineStr">
        <is>
          <t>L</t>
        </is>
      </c>
      <c r="F174" s="8">
        <f>L96+L97+L98+L99+L100+L101</f>
        <v/>
      </c>
      <c r="G174" s="9" t="inlineStr">
        <is>
          <t>SUM</t>
        </is>
      </c>
      <c r="H174" s="7" t="inlineStr"/>
      <c r="I174" s="10" t="inlineStr"/>
    </row>
    <row r="175" ht="28" customHeight="1">
      <c r="A175" s="10" t="inlineStr"/>
      <c r="B175" s="11" t="inlineStr"/>
      <c r="C175" s="7" t="inlineStr"/>
      <c r="D175" s="7" t="inlineStr">
        <is>
          <t>Volume of Available Product (BBLs)</t>
        </is>
      </c>
      <c r="E175" s="5" t="inlineStr">
        <is>
          <t>N</t>
        </is>
      </c>
      <c r="F175" s="8">
        <f>N96+N97+N98+N99+N100+N101</f>
        <v/>
      </c>
      <c r="G175" s="9" t="inlineStr">
        <is>
          <t>SUM</t>
        </is>
      </c>
      <c r="H175" s="7" t="inlineStr"/>
      <c r="I175" s="10" t="inlineStr"/>
    </row>
    <row r="176" ht="28" customHeight="1">
      <c r="A176" s="10" t="inlineStr"/>
      <c r="B176" s="11" t="inlineStr"/>
      <c r="C176" s="7" t="inlineStr"/>
      <c r="D176" s="7" t="inlineStr">
        <is>
          <t>Remaining Capacity (BBLs)</t>
        </is>
      </c>
      <c r="E176" s="5" t="inlineStr">
        <is>
          <t>O</t>
        </is>
      </c>
      <c r="F176" s="8">
        <f>O96+O97+O98+O99+O100+O101</f>
        <v/>
      </c>
      <c r="G176" s="9" t="inlineStr">
        <is>
          <t>SUM</t>
        </is>
      </c>
      <c r="H176" s="7" t="inlineStr"/>
      <c r="I176" s="10" t="inlineStr"/>
    </row>
    <row r="177" ht="28" customHeight="1">
      <c r="A177" s="10" t="inlineStr"/>
      <c r="B177" s="11" t="inlineStr"/>
      <c r="C177" s="7" t="inlineStr"/>
      <c r="D177" s="7" t="inlineStr">
        <is>
          <t>Inventory Change Net Vol (BBLs)</t>
        </is>
      </c>
      <c r="E177" s="5" t="inlineStr">
        <is>
          <t>P</t>
        </is>
      </c>
      <c r="F177" s="8">
        <f>P96+P97+P98+P99+P100+P101</f>
        <v/>
      </c>
      <c r="G177" s="9" t="inlineStr">
        <is>
          <t>SUM</t>
        </is>
      </c>
      <c r="H177" s="7" t="inlineStr"/>
      <c r="I177" s="10" t="inlineStr"/>
    </row>
    <row r="178" ht="28" customHeight="1">
      <c r="A178" s="14" t="n">
        <v>20</v>
      </c>
      <c r="B178" s="15" t="inlineStr">
        <is>
          <t>Acc_KeroBlndStck</t>
        </is>
      </c>
      <c r="C178" s="16" t="inlineStr">
        <is>
          <t>Unfinished Kerosene Blendstock</t>
        </is>
      </c>
      <c r="D178" s="16" t="inlineStr">
        <is>
          <t>Opening Net Volume (BBLs)</t>
        </is>
      </c>
      <c r="E178" s="14" t="inlineStr">
        <is>
          <t>E</t>
        </is>
      </c>
      <c r="F178" s="8">
        <f>E104+E105+E106+E107</f>
        <v/>
      </c>
      <c r="G178" s="9" t="inlineStr">
        <is>
          <t>SUM</t>
        </is>
      </c>
      <c r="H178" s="16" t="inlineStr">
        <is>
          <t>TK35, TK773, TK96, TK97</t>
        </is>
      </c>
      <c r="I178" s="17" t="n">
        <v>4</v>
      </c>
    </row>
    <row r="179" ht="28" customHeight="1">
      <c r="A179" s="17" t="inlineStr"/>
      <c r="B179" s="18" t="inlineStr"/>
      <c r="C179" s="16" t="inlineStr"/>
      <c r="D179" s="16" t="inlineStr">
        <is>
          <t>Opening Gravity</t>
        </is>
      </c>
      <c r="E179" s="14" t="inlineStr">
        <is>
          <t>F</t>
        </is>
      </c>
      <c r="F179" s="12">
        <f>AVERAGE(F104,F105,F106,F107)</f>
        <v/>
      </c>
      <c r="G179" s="13" t="inlineStr">
        <is>
          <t>AVERAGE</t>
        </is>
      </c>
      <c r="H179" s="16" t="inlineStr"/>
      <c r="I179" s="17" t="inlineStr"/>
    </row>
    <row r="180" ht="28" customHeight="1">
      <c r="A180" s="17" t="inlineStr"/>
      <c r="B180" s="18" t="inlineStr"/>
      <c r="C180" s="16" t="inlineStr"/>
      <c r="D180" s="16" t="inlineStr">
        <is>
          <t>Closing Net Volume (BBLs)</t>
        </is>
      </c>
      <c r="E180" s="14" t="inlineStr">
        <is>
          <t>G</t>
        </is>
      </c>
      <c r="F180" s="8">
        <f>G104+G105+G106+G107</f>
        <v/>
      </c>
      <c r="G180" s="9" t="inlineStr">
        <is>
          <t>SUM</t>
        </is>
      </c>
      <c r="H180" s="16" t="inlineStr"/>
      <c r="I180" s="17" t="inlineStr"/>
    </row>
    <row r="181" ht="28" customHeight="1">
      <c r="A181" s="17" t="inlineStr"/>
      <c r="B181" s="18" t="inlineStr"/>
      <c r="C181" s="16" t="inlineStr"/>
      <c r="D181" s="16" t="inlineStr">
        <is>
          <t>Closing Gross Volume (BBLs)</t>
        </is>
      </c>
      <c r="E181" s="14" t="inlineStr">
        <is>
          <t>H</t>
        </is>
      </c>
      <c r="F181" s="8">
        <f>H104+H105+H106+H107</f>
        <v/>
      </c>
      <c r="G181" s="9" t="inlineStr">
        <is>
          <t>SUM</t>
        </is>
      </c>
      <c r="H181" s="16" t="inlineStr"/>
      <c r="I181" s="17" t="inlineStr"/>
    </row>
    <row r="182" ht="28" customHeight="1">
      <c r="A182" s="17" t="inlineStr"/>
      <c r="B182" s="18" t="inlineStr"/>
      <c r="C182" s="16" t="inlineStr"/>
      <c r="D182" s="16" t="inlineStr">
        <is>
          <t>Gravity (Closing)</t>
        </is>
      </c>
      <c r="E182" s="14" t="inlineStr">
        <is>
          <t>J</t>
        </is>
      </c>
      <c r="F182" s="12">
        <f>AVERAGE(J104,J105,J106,J107)</f>
        <v/>
      </c>
      <c r="G182" s="13" t="inlineStr">
        <is>
          <t>AVERAGE</t>
        </is>
      </c>
      <c r="H182" s="16" t="inlineStr"/>
      <c r="I182" s="17" t="inlineStr"/>
    </row>
    <row r="183" ht="28" customHeight="1">
      <c r="A183" s="17" t="inlineStr"/>
      <c r="B183" s="18" t="inlineStr"/>
      <c r="C183" s="16" t="inlineStr"/>
      <c r="D183" s="16" t="inlineStr">
        <is>
          <t>Total Water (BBLs)</t>
        </is>
      </c>
      <c r="E183" s="14" t="inlineStr">
        <is>
          <t>L</t>
        </is>
      </c>
      <c r="F183" s="8">
        <f>L104+L105+L106+L107</f>
        <v/>
      </c>
      <c r="G183" s="9" t="inlineStr">
        <is>
          <t>SUM</t>
        </is>
      </c>
      <c r="H183" s="16" t="inlineStr"/>
      <c r="I183" s="17" t="inlineStr"/>
    </row>
    <row r="184" ht="28" customHeight="1">
      <c r="A184" s="17" t="inlineStr"/>
      <c r="B184" s="18" t="inlineStr"/>
      <c r="C184" s="16" t="inlineStr"/>
      <c r="D184" s="16" t="inlineStr">
        <is>
          <t>Volume of Available Product (BBLs)</t>
        </is>
      </c>
      <c r="E184" s="14" t="inlineStr">
        <is>
          <t>N</t>
        </is>
      </c>
      <c r="F184" s="8">
        <f>N104+N105+N106+N107</f>
        <v/>
      </c>
      <c r="G184" s="9" t="inlineStr">
        <is>
          <t>SUM</t>
        </is>
      </c>
      <c r="H184" s="16" t="inlineStr"/>
      <c r="I184" s="17" t="inlineStr"/>
    </row>
    <row r="185" ht="28" customHeight="1">
      <c r="A185" s="17" t="inlineStr"/>
      <c r="B185" s="18" t="inlineStr"/>
      <c r="C185" s="16" t="inlineStr"/>
      <c r="D185" s="16" t="inlineStr">
        <is>
          <t>Remaining Capacity (BBLs)</t>
        </is>
      </c>
      <c r="E185" s="14" t="inlineStr">
        <is>
          <t>O</t>
        </is>
      </c>
      <c r="F185" s="8">
        <f>O104+O105+O106+O107</f>
        <v/>
      </c>
      <c r="G185" s="9" t="inlineStr">
        <is>
          <t>SUM</t>
        </is>
      </c>
      <c r="H185" s="16" t="inlineStr"/>
      <c r="I185" s="17" t="inlineStr"/>
    </row>
    <row r="186" ht="28" customHeight="1">
      <c r="A186" s="17" t="inlineStr"/>
      <c r="B186" s="18" t="inlineStr"/>
      <c r="C186" s="16" t="inlineStr"/>
      <c r="D186" s="16" t="inlineStr">
        <is>
          <t>Inventory Change Net Vol (BBLs)</t>
        </is>
      </c>
      <c r="E186" s="14" t="inlineStr">
        <is>
          <t>P</t>
        </is>
      </c>
      <c r="F186" s="8">
        <f>P104+P105+P106+P107</f>
        <v/>
      </c>
      <c r="G186" s="9" t="inlineStr">
        <is>
          <t>SUM</t>
        </is>
      </c>
      <c r="H186" s="16" t="inlineStr"/>
      <c r="I186" s="17" t="inlineStr"/>
    </row>
    <row r="187" ht="28" customHeight="1">
      <c r="A187" s="5" t="n">
        <v>21</v>
      </c>
      <c r="B187" s="6" t="inlineStr">
        <is>
          <t>Acc_LCO</t>
        </is>
      </c>
      <c r="C187" s="7" t="inlineStr">
        <is>
          <t>Light Cycle Oil</t>
        </is>
      </c>
      <c r="D187" s="7" t="inlineStr">
        <is>
          <t>Opening Net Volume (BBLs)</t>
        </is>
      </c>
      <c r="E187" s="5" t="inlineStr">
        <is>
          <t>E</t>
        </is>
      </c>
      <c r="F187" s="8">
        <f>E110</f>
        <v/>
      </c>
      <c r="G187" s="9" t="inlineStr">
        <is>
          <t>SUM</t>
        </is>
      </c>
      <c r="H187" s="7" t="inlineStr">
        <is>
          <t>TK968</t>
        </is>
      </c>
      <c r="I187" s="10" t="n">
        <v>1</v>
      </c>
    </row>
    <row r="188" ht="28" customHeight="1">
      <c r="A188" s="10" t="inlineStr"/>
      <c r="B188" s="11" t="inlineStr"/>
      <c r="C188" s="7" t="inlineStr"/>
      <c r="D188" s="7" t="inlineStr">
        <is>
          <t>Opening Gravity</t>
        </is>
      </c>
      <c r="E188" s="5" t="inlineStr">
        <is>
          <t>F</t>
        </is>
      </c>
      <c r="F188" s="12">
        <f>AVERAGE(F110)</f>
        <v/>
      </c>
      <c r="G188" s="13" t="inlineStr">
        <is>
          <t>AVERAGE</t>
        </is>
      </c>
      <c r="H188" s="7" t="inlineStr"/>
      <c r="I188" s="10" t="inlineStr"/>
    </row>
    <row r="189" ht="28" customHeight="1">
      <c r="A189" s="10" t="inlineStr"/>
      <c r="B189" s="11" t="inlineStr"/>
      <c r="C189" s="7" t="inlineStr"/>
      <c r="D189" s="7" t="inlineStr">
        <is>
          <t>Closing Net Volume (BBLs)</t>
        </is>
      </c>
      <c r="E189" s="5" t="inlineStr">
        <is>
          <t>G</t>
        </is>
      </c>
      <c r="F189" s="8">
        <f>G110</f>
        <v/>
      </c>
      <c r="G189" s="9" t="inlineStr">
        <is>
          <t>SUM</t>
        </is>
      </c>
      <c r="H189" s="7" t="inlineStr"/>
      <c r="I189" s="10" t="inlineStr"/>
    </row>
    <row r="190" ht="28" customHeight="1">
      <c r="A190" s="10" t="inlineStr"/>
      <c r="B190" s="11" t="inlineStr"/>
      <c r="C190" s="7" t="inlineStr"/>
      <c r="D190" s="7" t="inlineStr">
        <is>
          <t>Closing Gross Volume (BBLs)</t>
        </is>
      </c>
      <c r="E190" s="5" t="inlineStr">
        <is>
          <t>H</t>
        </is>
      </c>
      <c r="F190" s="8">
        <f>H110</f>
        <v/>
      </c>
      <c r="G190" s="9" t="inlineStr">
        <is>
          <t>SUM</t>
        </is>
      </c>
      <c r="H190" s="7" t="inlineStr"/>
      <c r="I190" s="10" t="inlineStr"/>
    </row>
    <row r="191" ht="28" customHeight="1">
      <c r="A191" s="10" t="inlineStr"/>
      <c r="B191" s="11" t="inlineStr"/>
      <c r="C191" s="7" t="inlineStr"/>
      <c r="D191" s="7" t="inlineStr">
        <is>
          <t>Gravity (Closing)</t>
        </is>
      </c>
      <c r="E191" s="5" t="inlineStr">
        <is>
          <t>J</t>
        </is>
      </c>
      <c r="F191" s="12">
        <f>AVERAGE(J110)</f>
        <v/>
      </c>
      <c r="G191" s="13" t="inlineStr">
        <is>
          <t>AVERAGE</t>
        </is>
      </c>
      <c r="H191" s="7" t="inlineStr"/>
      <c r="I191" s="10" t="inlineStr"/>
    </row>
    <row r="192" ht="28" customHeight="1">
      <c r="A192" s="10" t="inlineStr"/>
      <c r="B192" s="11" t="inlineStr"/>
      <c r="C192" s="7" t="inlineStr"/>
      <c r="D192" s="7" t="inlineStr">
        <is>
          <t>Total Water (BBLs)</t>
        </is>
      </c>
      <c r="E192" s="5" t="inlineStr">
        <is>
          <t>L</t>
        </is>
      </c>
      <c r="F192" s="8">
        <f>L110</f>
        <v/>
      </c>
      <c r="G192" s="9" t="inlineStr">
        <is>
          <t>SUM</t>
        </is>
      </c>
      <c r="H192" s="7" t="inlineStr"/>
      <c r="I192" s="10" t="inlineStr"/>
    </row>
    <row r="193" ht="28" customHeight="1">
      <c r="A193" s="10" t="inlineStr"/>
      <c r="B193" s="11" t="inlineStr"/>
      <c r="C193" s="7" t="inlineStr"/>
      <c r="D193" s="7" t="inlineStr">
        <is>
          <t>Volume of Available Product (BBLs)</t>
        </is>
      </c>
      <c r="E193" s="5" t="inlineStr">
        <is>
          <t>N</t>
        </is>
      </c>
      <c r="F193" s="8">
        <f>N110</f>
        <v/>
      </c>
      <c r="G193" s="9" t="inlineStr">
        <is>
          <t>SUM</t>
        </is>
      </c>
      <c r="H193" s="7" t="inlineStr"/>
      <c r="I193" s="10" t="inlineStr"/>
    </row>
    <row r="194" ht="28" customHeight="1">
      <c r="A194" s="10" t="inlineStr"/>
      <c r="B194" s="11" t="inlineStr"/>
      <c r="C194" s="7" t="inlineStr"/>
      <c r="D194" s="7" t="inlineStr">
        <is>
          <t>Remaining Capacity (BBLs)</t>
        </is>
      </c>
      <c r="E194" s="5" t="inlineStr">
        <is>
          <t>O</t>
        </is>
      </c>
      <c r="F194" s="8">
        <f>O110</f>
        <v/>
      </c>
      <c r="G194" s="9" t="inlineStr">
        <is>
          <t>SUM</t>
        </is>
      </c>
      <c r="H194" s="7" t="inlineStr"/>
      <c r="I194" s="10" t="inlineStr"/>
    </row>
    <row r="195" ht="28" customHeight="1">
      <c r="A195" s="10" t="inlineStr"/>
      <c r="B195" s="11" t="inlineStr"/>
      <c r="C195" s="7" t="inlineStr"/>
      <c r="D195" s="7" t="inlineStr">
        <is>
          <t>Inventory Change Net Vol (BBLs)</t>
        </is>
      </c>
      <c r="E195" s="5" t="inlineStr">
        <is>
          <t>P</t>
        </is>
      </c>
      <c r="F195" s="8">
        <f>P110</f>
        <v/>
      </c>
      <c r="G195" s="9" t="inlineStr">
        <is>
          <t>SUM</t>
        </is>
      </c>
      <c r="H195" s="7" t="inlineStr"/>
      <c r="I195" s="10" t="inlineStr"/>
    </row>
    <row r="196" ht="28" customHeight="1">
      <c r="A196" s="14" t="n">
        <v>22</v>
      </c>
      <c r="B196" s="15" t="inlineStr">
        <is>
          <t>Acc_LNaphtha</t>
        </is>
      </c>
      <c r="C196" s="16" t="inlineStr">
        <is>
          <t>Light Naphtha</t>
        </is>
      </c>
      <c r="D196" s="16" t="inlineStr">
        <is>
          <t>Opening Net Volume (BBLs)</t>
        </is>
      </c>
      <c r="E196" s="14" t="inlineStr">
        <is>
          <t>E</t>
        </is>
      </c>
      <c r="F196" s="8">
        <f>E113</f>
        <v/>
      </c>
      <c r="G196" s="9" t="inlineStr">
        <is>
          <t>SUM</t>
        </is>
      </c>
      <c r="H196" s="16" t="inlineStr">
        <is>
          <t>TK93</t>
        </is>
      </c>
      <c r="I196" s="17" t="n">
        <v>1</v>
      </c>
    </row>
    <row r="197" ht="28" customHeight="1">
      <c r="A197" s="17" t="inlineStr"/>
      <c r="B197" s="18" t="inlineStr"/>
      <c r="C197" s="16" t="inlineStr"/>
      <c r="D197" s="16" t="inlineStr">
        <is>
          <t>Opening Gravity</t>
        </is>
      </c>
      <c r="E197" s="14" t="inlineStr">
        <is>
          <t>F</t>
        </is>
      </c>
      <c r="F197" s="12">
        <f>AVERAGE(F113)</f>
        <v/>
      </c>
      <c r="G197" s="13" t="inlineStr">
        <is>
          <t>AVERAGE</t>
        </is>
      </c>
      <c r="H197" s="16" t="inlineStr"/>
      <c r="I197" s="17" t="inlineStr"/>
    </row>
    <row r="198" ht="28" customHeight="1">
      <c r="A198" s="17" t="inlineStr"/>
      <c r="B198" s="18" t="inlineStr"/>
      <c r="C198" s="16" t="inlineStr"/>
      <c r="D198" s="16" t="inlineStr">
        <is>
          <t>Closing Net Volume (BBLs)</t>
        </is>
      </c>
      <c r="E198" s="14" t="inlineStr">
        <is>
          <t>G</t>
        </is>
      </c>
      <c r="F198" s="8">
        <f>G113</f>
        <v/>
      </c>
      <c r="G198" s="9" t="inlineStr">
        <is>
          <t>SUM</t>
        </is>
      </c>
      <c r="H198" s="16" t="inlineStr"/>
      <c r="I198" s="17" t="inlineStr"/>
    </row>
    <row r="199" ht="28" customHeight="1">
      <c r="A199" s="17" t="inlineStr"/>
      <c r="B199" s="18" t="inlineStr"/>
      <c r="C199" s="16" t="inlineStr"/>
      <c r="D199" s="16" t="inlineStr">
        <is>
          <t>Closing Gross Volume (BBLs)</t>
        </is>
      </c>
      <c r="E199" s="14" t="inlineStr">
        <is>
          <t>H</t>
        </is>
      </c>
      <c r="F199" s="8">
        <f>H113</f>
        <v/>
      </c>
      <c r="G199" s="9" t="inlineStr">
        <is>
          <t>SUM</t>
        </is>
      </c>
      <c r="H199" s="16" t="inlineStr"/>
      <c r="I199" s="17" t="inlineStr"/>
    </row>
    <row r="200" ht="28" customHeight="1">
      <c r="A200" s="17" t="inlineStr"/>
      <c r="B200" s="18" t="inlineStr"/>
      <c r="C200" s="16" t="inlineStr"/>
      <c r="D200" s="16" t="inlineStr">
        <is>
          <t>Gravity (Closing)</t>
        </is>
      </c>
      <c r="E200" s="14" t="inlineStr">
        <is>
          <t>J</t>
        </is>
      </c>
      <c r="F200" s="12">
        <f>AVERAGE(J113)</f>
        <v/>
      </c>
      <c r="G200" s="13" t="inlineStr">
        <is>
          <t>AVERAGE</t>
        </is>
      </c>
      <c r="H200" s="16" t="inlineStr"/>
      <c r="I200" s="17" t="inlineStr"/>
    </row>
    <row r="201" ht="28" customHeight="1">
      <c r="A201" s="17" t="inlineStr"/>
      <c r="B201" s="18" t="inlineStr"/>
      <c r="C201" s="16" t="inlineStr"/>
      <c r="D201" s="16" t="inlineStr">
        <is>
          <t>Total Water (BBLs)</t>
        </is>
      </c>
      <c r="E201" s="14" t="inlineStr">
        <is>
          <t>L</t>
        </is>
      </c>
      <c r="F201" s="8">
        <f>L113</f>
        <v/>
      </c>
      <c r="G201" s="9" t="inlineStr">
        <is>
          <t>SUM</t>
        </is>
      </c>
      <c r="H201" s="16" t="inlineStr"/>
      <c r="I201" s="17" t="inlineStr"/>
    </row>
    <row r="202" ht="28" customHeight="1">
      <c r="A202" s="17" t="inlineStr"/>
      <c r="B202" s="18" t="inlineStr"/>
      <c r="C202" s="16" t="inlineStr"/>
      <c r="D202" s="16" t="inlineStr">
        <is>
          <t>Volume of Available Product (BBLs)</t>
        </is>
      </c>
      <c r="E202" s="14" t="inlineStr">
        <is>
          <t>N</t>
        </is>
      </c>
      <c r="F202" s="8">
        <f>N113</f>
        <v/>
      </c>
      <c r="G202" s="9" t="inlineStr">
        <is>
          <t>SUM</t>
        </is>
      </c>
      <c r="H202" s="16" t="inlineStr"/>
      <c r="I202" s="17" t="inlineStr"/>
    </row>
    <row r="203" ht="28" customHeight="1">
      <c r="A203" s="17" t="inlineStr"/>
      <c r="B203" s="18" t="inlineStr"/>
      <c r="C203" s="16" t="inlineStr"/>
      <c r="D203" s="16" t="inlineStr">
        <is>
          <t>Remaining Capacity (BBLs)</t>
        </is>
      </c>
      <c r="E203" s="14" t="inlineStr">
        <is>
          <t>O</t>
        </is>
      </c>
      <c r="F203" s="8">
        <f>O113</f>
        <v/>
      </c>
      <c r="G203" s="9" t="inlineStr">
        <is>
          <t>SUM</t>
        </is>
      </c>
      <c r="H203" s="16" t="inlineStr"/>
      <c r="I203" s="17" t="inlineStr"/>
    </row>
    <row r="204" ht="28" customHeight="1">
      <c r="A204" s="17" t="inlineStr"/>
      <c r="B204" s="18" t="inlineStr"/>
      <c r="C204" s="16" t="inlineStr"/>
      <c r="D204" s="16" t="inlineStr">
        <is>
          <t>Inventory Change Net Vol (BBLs)</t>
        </is>
      </c>
      <c r="E204" s="14" t="inlineStr">
        <is>
          <t>P</t>
        </is>
      </c>
      <c r="F204" s="8">
        <f>P113</f>
        <v/>
      </c>
      <c r="G204" s="9" t="inlineStr">
        <is>
          <t>SUM</t>
        </is>
      </c>
      <c r="H204" s="16" t="inlineStr"/>
      <c r="I204" s="17" t="inlineStr"/>
    </row>
    <row r="205" ht="28" customHeight="1">
      <c r="A205" s="5" t="n">
        <v>23</v>
      </c>
      <c r="B205" s="6" t="inlineStr">
        <is>
          <t>Acc_LowSulSlurry</t>
        </is>
      </c>
      <c r="C205" s="7" t="inlineStr">
        <is>
          <t>Low Sulfur Slurry</t>
        </is>
      </c>
      <c r="D205" s="7" t="inlineStr">
        <is>
          <t>Opening Net Volume (BBLs)</t>
        </is>
      </c>
      <c r="E205" s="5" t="inlineStr">
        <is>
          <t>E</t>
        </is>
      </c>
      <c r="F205" s="8">
        <f>E116</f>
        <v/>
      </c>
      <c r="G205" s="9" t="inlineStr">
        <is>
          <t>SUM</t>
        </is>
      </c>
      <c r="H205" s="7" t="inlineStr">
        <is>
          <t>TK11</t>
        </is>
      </c>
      <c r="I205" s="10" t="n">
        <v>1</v>
      </c>
    </row>
    <row r="206" ht="28" customHeight="1">
      <c r="A206" s="10" t="inlineStr"/>
      <c r="B206" s="11" t="inlineStr"/>
      <c r="C206" s="7" t="inlineStr"/>
      <c r="D206" s="7" t="inlineStr">
        <is>
          <t>Opening Gravity</t>
        </is>
      </c>
      <c r="E206" s="5" t="inlineStr">
        <is>
          <t>F</t>
        </is>
      </c>
      <c r="F206" s="12">
        <f>AVERAGE(F116)</f>
        <v/>
      </c>
      <c r="G206" s="13" t="inlineStr">
        <is>
          <t>AVERAGE</t>
        </is>
      </c>
      <c r="H206" s="7" t="inlineStr"/>
      <c r="I206" s="10" t="inlineStr"/>
    </row>
    <row r="207" ht="28" customHeight="1">
      <c r="A207" s="10" t="inlineStr"/>
      <c r="B207" s="11" t="inlineStr"/>
      <c r="C207" s="7" t="inlineStr"/>
      <c r="D207" s="7" t="inlineStr">
        <is>
          <t>Closing Net Volume (BBLs)</t>
        </is>
      </c>
      <c r="E207" s="5" t="inlineStr">
        <is>
          <t>G</t>
        </is>
      </c>
      <c r="F207" s="8">
        <f>G116</f>
        <v/>
      </c>
      <c r="G207" s="9" t="inlineStr">
        <is>
          <t>SUM</t>
        </is>
      </c>
      <c r="H207" s="7" t="inlineStr"/>
      <c r="I207" s="10" t="inlineStr"/>
    </row>
    <row r="208" ht="28" customHeight="1">
      <c r="A208" s="10" t="inlineStr"/>
      <c r="B208" s="11" t="inlineStr"/>
      <c r="C208" s="7" t="inlineStr"/>
      <c r="D208" s="7" t="inlineStr">
        <is>
          <t>Closing Gross Volume (BBLs)</t>
        </is>
      </c>
      <c r="E208" s="5" t="inlineStr">
        <is>
          <t>H</t>
        </is>
      </c>
      <c r="F208" s="8">
        <f>H116</f>
        <v/>
      </c>
      <c r="G208" s="9" t="inlineStr">
        <is>
          <t>SUM</t>
        </is>
      </c>
      <c r="H208" s="7" t="inlineStr"/>
      <c r="I208" s="10" t="inlineStr"/>
    </row>
    <row r="209" ht="28" customHeight="1">
      <c r="A209" s="10" t="inlineStr"/>
      <c r="B209" s="11" t="inlineStr"/>
      <c r="C209" s="7" t="inlineStr"/>
      <c r="D209" s="7" t="inlineStr">
        <is>
          <t>Gravity (Closing)</t>
        </is>
      </c>
      <c r="E209" s="5" t="inlineStr">
        <is>
          <t>J</t>
        </is>
      </c>
      <c r="F209" s="12">
        <f>AVERAGE(J116)</f>
        <v/>
      </c>
      <c r="G209" s="13" t="inlineStr">
        <is>
          <t>AVERAGE</t>
        </is>
      </c>
      <c r="H209" s="7" t="inlineStr"/>
      <c r="I209" s="10" t="inlineStr"/>
    </row>
    <row r="210" ht="28" customHeight="1">
      <c r="A210" s="10" t="inlineStr"/>
      <c r="B210" s="11" t="inlineStr"/>
      <c r="C210" s="7" t="inlineStr"/>
      <c r="D210" s="7" t="inlineStr">
        <is>
          <t>Total Water (BBLs)</t>
        </is>
      </c>
      <c r="E210" s="5" t="inlineStr">
        <is>
          <t>L</t>
        </is>
      </c>
      <c r="F210" s="8">
        <f>L116</f>
        <v/>
      </c>
      <c r="G210" s="9" t="inlineStr">
        <is>
          <t>SUM</t>
        </is>
      </c>
      <c r="H210" s="7" t="inlineStr"/>
      <c r="I210" s="10" t="inlineStr"/>
    </row>
    <row r="211" ht="28" customHeight="1">
      <c r="A211" s="10" t="inlineStr"/>
      <c r="B211" s="11" t="inlineStr"/>
      <c r="C211" s="7" t="inlineStr"/>
      <c r="D211" s="7" t="inlineStr">
        <is>
          <t>Volume of Available Product (BBLs)</t>
        </is>
      </c>
      <c r="E211" s="5" t="inlineStr">
        <is>
          <t>N</t>
        </is>
      </c>
      <c r="F211" s="8">
        <f>N116</f>
        <v/>
      </c>
      <c r="G211" s="9" t="inlineStr">
        <is>
          <t>SUM</t>
        </is>
      </c>
      <c r="H211" s="7" t="inlineStr"/>
      <c r="I211" s="10" t="inlineStr"/>
    </row>
    <row r="212" ht="28" customHeight="1">
      <c r="A212" s="10" t="inlineStr"/>
      <c r="B212" s="11" t="inlineStr"/>
      <c r="C212" s="7" t="inlineStr"/>
      <c r="D212" s="7" t="inlineStr">
        <is>
          <t>Remaining Capacity (BBLs)</t>
        </is>
      </c>
      <c r="E212" s="5" t="inlineStr">
        <is>
          <t>O</t>
        </is>
      </c>
      <c r="F212" s="8">
        <f>O116</f>
        <v/>
      </c>
      <c r="G212" s="9" t="inlineStr">
        <is>
          <t>SUM</t>
        </is>
      </c>
      <c r="H212" s="7" t="inlineStr"/>
      <c r="I212" s="10" t="inlineStr"/>
    </row>
    <row r="213" ht="28" customHeight="1">
      <c r="A213" s="10" t="inlineStr"/>
      <c r="B213" s="11" t="inlineStr"/>
      <c r="C213" s="7" t="inlineStr"/>
      <c r="D213" s="7" t="inlineStr">
        <is>
          <t>Inventory Change Net Vol (BBLs)</t>
        </is>
      </c>
      <c r="E213" s="5" t="inlineStr">
        <is>
          <t>P</t>
        </is>
      </c>
      <c r="F213" s="8">
        <f>P116</f>
        <v/>
      </c>
      <c r="G213" s="9" t="inlineStr">
        <is>
          <t>SUM</t>
        </is>
      </c>
      <c r="H213" s="7" t="inlineStr"/>
      <c r="I213" s="10" t="inlineStr"/>
    </row>
    <row r="214" ht="28" customHeight="1">
      <c r="A214" s="14" t="n">
        <v>24</v>
      </c>
      <c r="B214" s="15" t="inlineStr">
        <is>
          <t>Acc_LSVGO</t>
        </is>
      </c>
      <c r="C214" s="16" t="inlineStr">
        <is>
          <t>Low Sulfur Vacuum Gas Oil</t>
        </is>
      </c>
      <c r="D214" s="16" t="inlineStr">
        <is>
          <t>Opening Net Volume (BBLs)</t>
        </is>
      </c>
      <c r="E214" s="14" t="inlineStr">
        <is>
          <t>E</t>
        </is>
      </c>
      <c r="F214" s="8">
        <f>E119+E120+E121+E122</f>
        <v/>
      </c>
      <c r="G214" s="9" t="inlineStr">
        <is>
          <t>SUM</t>
        </is>
      </c>
      <c r="H214" s="16" t="inlineStr">
        <is>
          <t>TK14, TK502, TK956, TK959</t>
        </is>
      </c>
      <c r="I214" s="17" t="n">
        <v>4</v>
      </c>
    </row>
    <row r="215" ht="28" customHeight="1">
      <c r="A215" s="17" t="inlineStr"/>
      <c r="B215" s="18" t="inlineStr"/>
      <c r="C215" s="16" t="inlineStr"/>
      <c r="D215" s="16" t="inlineStr">
        <is>
          <t>Opening Gravity</t>
        </is>
      </c>
      <c r="E215" s="14" t="inlineStr">
        <is>
          <t>F</t>
        </is>
      </c>
      <c r="F215" s="12">
        <f>AVERAGE(F119,F120,F121,F122)</f>
        <v/>
      </c>
      <c r="G215" s="13" t="inlineStr">
        <is>
          <t>AVERAGE</t>
        </is>
      </c>
      <c r="H215" s="16" t="inlineStr"/>
      <c r="I215" s="17" t="inlineStr"/>
    </row>
    <row r="216" ht="28" customHeight="1">
      <c r="A216" s="17" t="inlineStr"/>
      <c r="B216" s="18" t="inlineStr"/>
      <c r="C216" s="16" t="inlineStr"/>
      <c r="D216" s="16" t="inlineStr">
        <is>
          <t>Closing Net Volume (BBLs)</t>
        </is>
      </c>
      <c r="E216" s="14" t="inlineStr">
        <is>
          <t>G</t>
        </is>
      </c>
      <c r="F216" s="8">
        <f>G119+G120+G121+G122</f>
        <v/>
      </c>
      <c r="G216" s="9" t="inlineStr">
        <is>
          <t>SUM</t>
        </is>
      </c>
      <c r="H216" s="16" t="inlineStr"/>
      <c r="I216" s="17" t="inlineStr"/>
    </row>
    <row r="217" ht="28" customHeight="1">
      <c r="A217" s="17" t="inlineStr"/>
      <c r="B217" s="18" t="inlineStr"/>
      <c r="C217" s="16" t="inlineStr"/>
      <c r="D217" s="16" t="inlineStr">
        <is>
          <t>Closing Gross Volume (BBLs)</t>
        </is>
      </c>
      <c r="E217" s="14" t="inlineStr">
        <is>
          <t>H</t>
        </is>
      </c>
      <c r="F217" s="8">
        <f>H119+H120+H121+H122</f>
        <v/>
      </c>
      <c r="G217" s="9" t="inlineStr">
        <is>
          <t>SUM</t>
        </is>
      </c>
      <c r="H217" s="16" t="inlineStr"/>
      <c r="I217" s="17" t="inlineStr"/>
    </row>
    <row r="218" ht="28" customHeight="1">
      <c r="A218" s="17" t="inlineStr"/>
      <c r="B218" s="18" t="inlineStr"/>
      <c r="C218" s="16" t="inlineStr"/>
      <c r="D218" s="16" t="inlineStr">
        <is>
          <t>Gravity (Closing)</t>
        </is>
      </c>
      <c r="E218" s="14" t="inlineStr">
        <is>
          <t>J</t>
        </is>
      </c>
      <c r="F218" s="12">
        <f>AVERAGE(J119,J120,J121,J122)</f>
        <v/>
      </c>
      <c r="G218" s="13" t="inlineStr">
        <is>
          <t>AVERAGE</t>
        </is>
      </c>
      <c r="H218" s="16" t="inlineStr"/>
      <c r="I218" s="17" t="inlineStr"/>
    </row>
    <row r="219" ht="28" customHeight="1">
      <c r="A219" s="17" t="inlineStr"/>
      <c r="B219" s="18" t="inlineStr"/>
      <c r="C219" s="16" t="inlineStr"/>
      <c r="D219" s="16" t="inlineStr">
        <is>
          <t>Total Water (BBLs)</t>
        </is>
      </c>
      <c r="E219" s="14" t="inlineStr">
        <is>
          <t>L</t>
        </is>
      </c>
      <c r="F219" s="8">
        <f>L119+L120+L121+L122</f>
        <v/>
      </c>
      <c r="G219" s="9" t="inlineStr">
        <is>
          <t>SUM</t>
        </is>
      </c>
      <c r="H219" s="16" t="inlineStr"/>
      <c r="I219" s="17" t="inlineStr"/>
    </row>
    <row r="220" ht="28" customHeight="1">
      <c r="A220" s="17" t="inlineStr"/>
      <c r="B220" s="18" t="inlineStr"/>
      <c r="C220" s="16" t="inlineStr"/>
      <c r="D220" s="16" t="inlineStr">
        <is>
          <t>Volume of Available Product (BBLs)</t>
        </is>
      </c>
      <c r="E220" s="14" t="inlineStr">
        <is>
          <t>N</t>
        </is>
      </c>
      <c r="F220" s="8">
        <f>N119+N120+N121+N122</f>
        <v/>
      </c>
      <c r="G220" s="9" t="inlineStr">
        <is>
          <t>SUM</t>
        </is>
      </c>
      <c r="H220" s="16" t="inlineStr"/>
      <c r="I220" s="17" t="inlineStr"/>
    </row>
    <row r="221" ht="28" customHeight="1">
      <c r="A221" s="17" t="inlineStr"/>
      <c r="B221" s="18" t="inlineStr"/>
      <c r="C221" s="16" t="inlineStr"/>
      <c r="D221" s="16" t="inlineStr">
        <is>
          <t>Remaining Capacity (BBLs)</t>
        </is>
      </c>
      <c r="E221" s="14" t="inlineStr">
        <is>
          <t>O</t>
        </is>
      </c>
      <c r="F221" s="8">
        <f>O119+O120+O121+O122</f>
        <v/>
      </c>
      <c r="G221" s="9" t="inlineStr">
        <is>
          <t>SUM</t>
        </is>
      </c>
      <c r="H221" s="16" t="inlineStr"/>
      <c r="I221" s="17" t="inlineStr"/>
    </row>
    <row r="222" ht="28" customHeight="1">
      <c r="A222" s="17" t="inlineStr"/>
      <c r="B222" s="18" t="inlineStr"/>
      <c r="C222" s="16" t="inlineStr"/>
      <c r="D222" s="16" t="inlineStr">
        <is>
          <t>Inventory Change Net Vol (BBLs)</t>
        </is>
      </c>
      <c r="E222" s="14" t="inlineStr">
        <is>
          <t>P</t>
        </is>
      </c>
      <c r="F222" s="8">
        <f>P119+P120+P121+P122</f>
        <v/>
      </c>
      <c r="G222" s="9" t="inlineStr">
        <is>
          <t>SUM</t>
        </is>
      </c>
      <c r="H222" s="16" t="inlineStr"/>
      <c r="I222" s="17" t="inlineStr"/>
    </row>
    <row r="223" ht="28" customHeight="1">
      <c r="A223" s="5" t="n">
        <v>25</v>
      </c>
      <c r="B223" s="6" t="inlineStr">
        <is>
          <t>Acc_LtCatGasoline</t>
        </is>
      </c>
      <c r="C223" s="7" t="inlineStr">
        <is>
          <t>Light Cat Gasoline</t>
        </is>
      </c>
      <c r="D223" s="7" t="inlineStr">
        <is>
          <t>Opening Net Volume (BBLs)</t>
        </is>
      </c>
      <c r="E223" s="5" t="inlineStr">
        <is>
          <t>E</t>
        </is>
      </c>
      <c r="F223" s="8">
        <f>E125</f>
        <v/>
      </c>
      <c r="G223" s="9" t="inlineStr">
        <is>
          <t>SUM</t>
        </is>
      </c>
      <c r="H223" s="7" t="inlineStr">
        <is>
          <t>TK68</t>
        </is>
      </c>
      <c r="I223" s="10" t="n">
        <v>1</v>
      </c>
    </row>
    <row r="224" ht="28" customHeight="1">
      <c r="A224" s="10" t="inlineStr"/>
      <c r="B224" s="11" t="inlineStr"/>
      <c r="C224" s="7" t="inlineStr"/>
      <c r="D224" s="7" t="inlineStr">
        <is>
          <t>Opening Gravity</t>
        </is>
      </c>
      <c r="E224" s="5" t="inlineStr">
        <is>
          <t>F</t>
        </is>
      </c>
      <c r="F224" s="12">
        <f>AVERAGE(F125)</f>
        <v/>
      </c>
      <c r="G224" s="13" t="inlineStr">
        <is>
          <t>AVERAGE</t>
        </is>
      </c>
      <c r="H224" s="7" t="inlineStr"/>
      <c r="I224" s="10" t="inlineStr"/>
    </row>
    <row r="225" ht="28" customHeight="1">
      <c r="A225" s="10" t="inlineStr"/>
      <c r="B225" s="11" t="inlineStr"/>
      <c r="C225" s="7" t="inlineStr"/>
      <c r="D225" s="7" t="inlineStr">
        <is>
          <t>Closing Net Volume (BBLs)</t>
        </is>
      </c>
      <c r="E225" s="5" t="inlineStr">
        <is>
          <t>G</t>
        </is>
      </c>
      <c r="F225" s="8">
        <f>G125</f>
        <v/>
      </c>
      <c r="G225" s="9" t="inlineStr">
        <is>
          <t>SUM</t>
        </is>
      </c>
      <c r="H225" s="7" t="inlineStr"/>
      <c r="I225" s="10" t="inlineStr"/>
    </row>
    <row r="226" ht="28" customHeight="1">
      <c r="A226" s="10" t="inlineStr"/>
      <c r="B226" s="11" t="inlineStr"/>
      <c r="C226" s="7" t="inlineStr"/>
      <c r="D226" s="7" t="inlineStr">
        <is>
          <t>Closing Gross Volume (BBLs)</t>
        </is>
      </c>
      <c r="E226" s="5" t="inlineStr">
        <is>
          <t>H</t>
        </is>
      </c>
      <c r="F226" s="8">
        <f>H125</f>
        <v/>
      </c>
      <c r="G226" s="9" t="inlineStr">
        <is>
          <t>SUM</t>
        </is>
      </c>
      <c r="H226" s="7" t="inlineStr"/>
      <c r="I226" s="10" t="inlineStr"/>
    </row>
    <row r="227" ht="28" customHeight="1">
      <c r="A227" s="10" t="inlineStr"/>
      <c r="B227" s="11" t="inlineStr"/>
      <c r="C227" s="7" t="inlineStr"/>
      <c r="D227" s="7" t="inlineStr">
        <is>
          <t>Gravity (Closing)</t>
        </is>
      </c>
      <c r="E227" s="5" t="inlineStr">
        <is>
          <t>J</t>
        </is>
      </c>
      <c r="F227" s="12">
        <f>AVERAGE(J125)</f>
        <v/>
      </c>
      <c r="G227" s="13" t="inlineStr">
        <is>
          <t>AVERAGE</t>
        </is>
      </c>
      <c r="H227" s="7" t="inlineStr"/>
      <c r="I227" s="10" t="inlineStr"/>
    </row>
    <row r="228" ht="28" customHeight="1">
      <c r="A228" s="10" t="inlineStr"/>
      <c r="B228" s="11" t="inlineStr"/>
      <c r="C228" s="7" t="inlineStr"/>
      <c r="D228" s="7" t="inlineStr">
        <is>
          <t>Total Water (BBLs)</t>
        </is>
      </c>
      <c r="E228" s="5" t="inlineStr">
        <is>
          <t>L</t>
        </is>
      </c>
      <c r="F228" s="8">
        <f>L125</f>
        <v/>
      </c>
      <c r="G228" s="9" t="inlineStr">
        <is>
          <t>SUM</t>
        </is>
      </c>
      <c r="H228" s="7" t="inlineStr"/>
      <c r="I228" s="10" t="inlineStr"/>
    </row>
    <row r="229" ht="28" customHeight="1">
      <c r="A229" s="10" t="inlineStr"/>
      <c r="B229" s="11" t="inlineStr"/>
      <c r="C229" s="7" t="inlineStr"/>
      <c r="D229" s="7" t="inlineStr">
        <is>
          <t>Volume of Available Product (BBLs)</t>
        </is>
      </c>
      <c r="E229" s="5" t="inlineStr">
        <is>
          <t>N</t>
        </is>
      </c>
      <c r="F229" s="8">
        <f>N125</f>
        <v/>
      </c>
      <c r="G229" s="9" t="inlineStr">
        <is>
          <t>SUM</t>
        </is>
      </c>
      <c r="H229" s="7" t="inlineStr"/>
      <c r="I229" s="10" t="inlineStr"/>
    </row>
    <row r="230" ht="28" customHeight="1">
      <c r="A230" s="10" t="inlineStr"/>
      <c r="B230" s="11" t="inlineStr"/>
      <c r="C230" s="7" t="inlineStr"/>
      <c r="D230" s="7" t="inlineStr">
        <is>
          <t>Remaining Capacity (BBLs)</t>
        </is>
      </c>
      <c r="E230" s="5" t="inlineStr">
        <is>
          <t>O</t>
        </is>
      </c>
      <c r="F230" s="8">
        <f>O125</f>
        <v/>
      </c>
      <c r="G230" s="9" t="inlineStr">
        <is>
          <t>SUM</t>
        </is>
      </c>
      <c r="H230" s="7" t="inlineStr"/>
      <c r="I230" s="10" t="inlineStr"/>
    </row>
    <row r="231" ht="28" customHeight="1">
      <c r="A231" s="10" t="inlineStr"/>
      <c r="B231" s="11" t="inlineStr"/>
      <c r="C231" s="7" t="inlineStr"/>
      <c r="D231" s="7" t="inlineStr">
        <is>
          <t>Inventory Change Net Vol (BBLs)</t>
        </is>
      </c>
      <c r="E231" s="5" t="inlineStr">
        <is>
          <t>P</t>
        </is>
      </c>
      <c r="F231" s="8">
        <f>P125</f>
        <v/>
      </c>
      <c r="G231" s="9" t="inlineStr">
        <is>
          <t>SUM</t>
        </is>
      </c>
      <c r="H231" s="7" t="inlineStr"/>
      <c r="I231" s="10" t="inlineStr"/>
    </row>
    <row r="232" ht="28" customHeight="1">
      <c r="A232" s="14" t="n">
        <v>26</v>
      </c>
      <c r="B232" s="15" t="inlineStr">
        <is>
          <t>Acc_MedCatGasoline</t>
        </is>
      </c>
      <c r="C232" s="16" t="inlineStr">
        <is>
          <t>Medium Cat Gasoline</t>
        </is>
      </c>
      <c r="D232" s="16" t="inlineStr">
        <is>
          <t>Opening Net Volume (BBLs)</t>
        </is>
      </c>
      <c r="E232" s="14" t="inlineStr">
        <is>
          <t>E</t>
        </is>
      </c>
      <c r="F232" s="8">
        <f>E128</f>
        <v/>
      </c>
      <c r="G232" s="9" t="inlineStr">
        <is>
          <t>SUM</t>
        </is>
      </c>
      <c r="H232" s="16" t="inlineStr">
        <is>
          <t>TK66</t>
        </is>
      </c>
      <c r="I232" s="17" t="n">
        <v>1</v>
      </c>
    </row>
    <row r="233" ht="28" customHeight="1">
      <c r="A233" s="17" t="inlineStr"/>
      <c r="B233" s="18" t="inlineStr"/>
      <c r="C233" s="16" t="inlineStr"/>
      <c r="D233" s="16" t="inlineStr">
        <is>
          <t>Opening Gravity</t>
        </is>
      </c>
      <c r="E233" s="14" t="inlineStr">
        <is>
          <t>F</t>
        </is>
      </c>
      <c r="F233" s="12">
        <f>AVERAGE(F128)</f>
        <v/>
      </c>
      <c r="G233" s="13" t="inlineStr">
        <is>
          <t>AVERAGE</t>
        </is>
      </c>
      <c r="H233" s="16" t="inlineStr"/>
      <c r="I233" s="17" t="inlineStr"/>
    </row>
    <row r="234" ht="28" customHeight="1">
      <c r="A234" s="17" t="inlineStr"/>
      <c r="B234" s="18" t="inlineStr"/>
      <c r="C234" s="16" t="inlineStr"/>
      <c r="D234" s="16" t="inlineStr">
        <is>
          <t>Closing Net Volume (BBLs)</t>
        </is>
      </c>
      <c r="E234" s="14" t="inlineStr">
        <is>
          <t>G</t>
        </is>
      </c>
      <c r="F234" s="8">
        <f>G128</f>
        <v/>
      </c>
      <c r="G234" s="9" t="inlineStr">
        <is>
          <t>SUM</t>
        </is>
      </c>
      <c r="H234" s="16" t="inlineStr"/>
      <c r="I234" s="17" t="inlineStr"/>
    </row>
    <row r="235" ht="28" customHeight="1">
      <c r="A235" s="17" t="inlineStr"/>
      <c r="B235" s="18" t="inlineStr"/>
      <c r="C235" s="16" t="inlineStr"/>
      <c r="D235" s="16" t="inlineStr">
        <is>
          <t>Closing Gross Volume (BBLs)</t>
        </is>
      </c>
      <c r="E235" s="14" t="inlineStr">
        <is>
          <t>H</t>
        </is>
      </c>
      <c r="F235" s="8">
        <f>H128</f>
        <v/>
      </c>
      <c r="G235" s="9" t="inlineStr">
        <is>
          <t>SUM</t>
        </is>
      </c>
      <c r="H235" s="16" t="inlineStr"/>
      <c r="I235" s="17" t="inlineStr"/>
    </row>
    <row r="236" ht="28" customHeight="1">
      <c r="A236" s="17" t="inlineStr"/>
      <c r="B236" s="18" t="inlineStr"/>
      <c r="C236" s="16" t="inlineStr"/>
      <c r="D236" s="16" t="inlineStr">
        <is>
          <t>Gravity (Closing)</t>
        </is>
      </c>
      <c r="E236" s="14" t="inlineStr">
        <is>
          <t>J</t>
        </is>
      </c>
      <c r="F236" s="12">
        <f>AVERAGE(J128)</f>
        <v/>
      </c>
      <c r="G236" s="13" t="inlineStr">
        <is>
          <t>AVERAGE</t>
        </is>
      </c>
      <c r="H236" s="16" t="inlineStr"/>
      <c r="I236" s="17" t="inlineStr"/>
    </row>
    <row r="237" ht="28" customHeight="1">
      <c r="A237" s="17" t="inlineStr"/>
      <c r="B237" s="18" t="inlineStr"/>
      <c r="C237" s="16" t="inlineStr"/>
      <c r="D237" s="16" t="inlineStr">
        <is>
          <t>Total Water (BBLs)</t>
        </is>
      </c>
      <c r="E237" s="14" t="inlineStr">
        <is>
          <t>L</t>
        </is>
      </c>
      <c r="F237" s="8">
        <f>L128</f>
        <v/>
      </c>
      <c r="G237" s="9" t="inlineStr">
        <is>
          <t>SUM</t>
        </is>
      </c>
      <c r="H237" s="16" t="inlineStr"/>
      <c r="I237" s="17" t="inlineStr"/>
    </row>
    <row r="238" ht="28" customHeight="1">
      <c r="A238" s="17" t="inlineStr"/>
      <c r="B238" s="18" t="inlineStr"/>
      <c r="C238" s="16" t="inlineStr"/>
      <c r="D238" s="16" t="inlineStr">
        <is>
          <t>Volume of Available Product (BBLs)</t>
        </is>
      </c>
      <c r="E238" s="14" t="inlineStr">
        <is>
          <t>N</t>
        </is>
      </c>
      <c r="F238" s="8">
        <f>N128</f>
        <v/>
      </c>
      <c r="G238" s="9" t="inlineStr">
        <is>
          <t>SUM</t>
        </is>
      </c>
      <c r="H238" s="16" t="inlineStr"/>
      <c r="I238" s="17" t="inlineStr"/>
    </row>
    <row r="239" ht="28" customHeight="1">
      <c r="A239" s="17" t="inlineStr"/>
      <c r="B239" s="18" t="inlineStr"/>
      <c r="C239" s="16" t="inlineStr"/>
      <c r="D239" s="16" t="inlineStr">
        <is>
          <t>Remaining Capacity (BBLs)</t>
        </is>
      </c>
      <c r="E239" s="14" t="inlineStr">
        <is>
          <t>O</t>
        </is>
      </c>
      <c r="F239" s="8">
        <f>O128</f>
        <v/>
      </c>
      <c r="G239" s="9" t="inlineStr">
        <is>
          <t>SUM</t>
        </is>
      </c>
      <c r="H239" s="16" t="inlineStr"/>
      <c r="I239" s="17" t="inlineStr"/>
    </row>
    <row r="240" ht="28" customHeight="1">
      <c r="A240" s="17" t="inlineStr"/>
      <c r="B240" s="18" t="inlineStr"/>
      <c r="C240" s="16" t="inlineStr"/>
      <c r="D240" s="16" t="inlineStr">
        <is>
          <t>Inventory Change Net Vol (BBLs)</t>
        </is>
      </c>
      <c r="E240" s="14" t="inlineStr">
        <is>
          <t>P</t>
        </is>
      </c>
      <c r="F240" s="8">
        <f>P128</f>
        <v/>
      </c>
      <c r="G240" s="9" t="inlineStr">
        <is>
          <t>SUM</t>
        </is>
      </c>
      <c r="H240" s="16" t="inlineStr"/>
      <c r="I240" s="17" t="inlineStr"/>
    </row>
    <row r="241" ht="28" customHeight="1">
      <c r="A241" s="5" t="n">
        <v>27</v>
      </c>
      <c r="B241" s="6" t="inlineStr">
        <is>
          <t>Acc_MixedButane</t>
        </is>
      </c>
      <c r="C241" s="7" t="inlineStr">
        <is>
          <t>Mixed Butane</t>
        </is>
      </c>
      <c r="D241" s="7" t="inlineStr">
        <is>
          <t>Opening Net Volume (BBLs)</t>
        </is>
      </c>
      <c r="E241" s="5" t="inlineStr">
        <is>
          <t>E</t>
        </is>
      </c>
      <c r="F241" s="8">
        <f>E131+E132</f>
        <v/>
      </c>
      <c r="G241" s="9" t="inlineStr">
        <is>
          <t>SUM</t>
        </is>
      </c>
      <c r="H241" s="7" t="inlineStr">
        <is>
          <t>TK683, TK73</t>
        </is>
      </c>
      <c r="I241" s="10" t="n">
        <v>2</v>
      </c>
    </row>
    <row r="242" ht="28" customHeight="1">
      <c r="A242" s="10" t="inlineStr"/>
      <c r="B242" s="11" t="inlineStr"/>
      <c r="C242" s="7" t="inlineStr"/>
      <c r="D242" s="7" t="inlineStr">
        <is>
          <t>Opening Gravity</t>
        </is>
      </c>
      <c r="E242" s="5" t="inlineStr">
        <is>
          <t>F</t>
        </is>
      </c>
      <c r="F242" s="12">
        <f>AVERAGE(F131,F132)</f>
        <v/>
      </c>
      <c r="G242" s="13" t="inlineStr">
        <is>
          <t>AVERAGE</t>
        </is>
      </c>
      <c r="H242" s="7" t="inlineStr"/>
      <c r="I242" s="10" t="inlineStr"/>
    </row>
    <row r="243" ht="28" customHeight="1">
      <c r="A243" s="10" t="inlineStr"/>
      <c r="B243" s="11" t="inlineStr"/>
      <c r="C243" s="7" t="inlineStr"/>
      <c r="D243" s="7" t="inlineStr">
        <is>
          <t>Closing Net Volume (BBLs)</t>
        </is>
      </c>
      <c r="E243" s="5" t="inlineStr">
        <is>
          <t>G</t>
        </is>
      </c>
      <c r="F243" s="8">
        <f>G131+G132</f>
        <v/>
      </c>
      <c r="G243" s="9" t="inlineStr">
        <is>
          <t>SUM</t>
        </is>
      </c>
      <c r="H243" s="7" t="inlineStr"/>
      <c r="I243" s="10" t="inlineStr"/>
    </row>
    <row r="244" ht="28" customHeight="1">
      <c r="A244" s="10" t="inlineStr"/>
      <c r="B244" s="11" t="inlineStr"/>
      <c r="C244" s="7" t="inlineStr"/>
      <c r="D244" s="7" t="inlineStr">
        <is>
          <t>Closing Gross Volume (BBLs)</t>
        </is>
      </c>
      <c r="E244" s="5" t="inlineStr">
        <is>
          <t>H</t>
        </is>
      </c>
      <c r="F244" s="8">
        <f>H131+H132</f>
        <v/>
      </c>
      <c r="G244" s="9" t="inlineStr">
        <is>
          <t>SUM</t>
        </is>
      </c>
      <c r="H244" s="7" t="inlineStr"/>
      <c r="I244" s="10" t="inlineStr"/>
    </row>
    <row r="245" ht="28" customHeight="1">
      <c r="A245" s="10" t="inlineStr"/>
      <c r="B245" s="11" t="inlineStr"/>
      <c r="C245" s="7" t="inlineStr"/>
      <c r="D245" s="7" t="inlineStr">
        <is>
          <t>Gravity (Closing)</t>
        </is>
      </c>
      <c r="E245" s="5" t="inlineStr">
        <is>
          <t>J</t>
        </is>
      </c>
      <c r="F245" s="12">
        <f>AVERAGE(J131,J132)</f>
        <v/>
      </c>
      <c r="G245" s="13" t="inlineStr">
        <is>
          <t>AVERAGE</t>
        </is>
      </c>
      <c r="H245" s="7" t="inlineStr"/>
      <c r="I245" s="10" t="inlineStr"/>
    </row>
    <row r="246" ht="28" customHeight="1">
      <c r="A246" s="10" t="inlineStr"/>
      <c r="B246" s="11" t="inlineStr"/>
      <c r="C246" s="7" t="inlineStr"/>
      <c r="D246" s="7" t="inlineStr">
        <is>
          <t>Total Water (BBLs)</t>
        </is>
      </c>
      <c r="E246" s="5" t="inlineStr">
        <is>
          <t>L</t>
        </is>
      </c>
      <c r="F246" s="8">
        <f>L131+L132</f>
        <v/>
      </c>
      <c r="G246" s="9" t="inlineStr">
        <is>
          <t>SUM</t>
        </is>
      </c>
      <c r="H246" s="7" t="inlineStr"/>
      <c r="I246" s="10" t="inlineStr"/>
    </row>
    <row r="247" ht="28" customHeight="1">
      <c r="A247" s="10" t="inlineStr"/>
      <c r="B247" s="11" t="inlineStr"/>
      <c r="C247" s="7" t="inlineStr"/>
      <c r="D247" s="7" t="inlineStr">
        <is>
          <t>Volume of Available Product (BBLs)</t>
        </is>
      </c>
      <c r="E247" s="5" t="inlineStr">
        <is>
          <t>N</t>
        </is>
      </c>
      <c r="F247" s="8">
        <f>N131+N132</f>
        <v/>
      </c>
      <c r="G247" s="9" t="inlineStr">
        <is>
          <t>SUM</t>
        </is>
      </c>
      <c r="H247" s="7" t="inlineStr"/>
      <c r="I247" s="10" t="inlineStr"/>
    </row>
    <row r="248" ht="28" customHeight="1">
      <c r="A248" s="10" t="inlineStr"/>
      <c r="B248" s="11" t="inlineStr"/>
      <c r="C248" s="7" t="inlineStr"/>
      <c r="D248" s="7" t="inlineStr">
        <is>
          <t>Remaining Capacity (BBLs)</t>
        </is>
      </c>
      <c r="E248" s="5" t="inlineStr">
        <is>
          <t>O</t>
        </is>
      </c>
      <c r="F248" s="8">
        <f>O131+O132</f>
        <v/>
      </c>
      <c r="G248" s="9" t="inlineStr">
        <is>
          <t>SUM</t>
        </is>
      </c>
      <c r="H248" s="7" t="inlineStr"/>
      <c r="I248" s="10" t="inlineStr"/>
    </row>
    <row r="249" ht="28" customHeight="1">
      <c r="A249" s="10" t="inlineStr"/>
      <c r="B249" s="11" t="inlineStr"/>
      <c r="C249" s="7" t="inlineStr"/>
      <c r="D249" s="7" t="inlineStr">
        <is>
          <t>Inventory Change Net Vol (BBLs)</t>
        </is>
      </c>
      <c r="E249" s="5" t="inlineStr">
        <is>
          <t>P</t>
        </is>
      </c>
      <c r="F249" s="8">
        <f>P131+P132</f>
        <v/>
      </c>
      <c r="G249" s="9" t="inlineStr">
        <is>
          <t>SUM</t>
        </is>
      </c>
      <c r="H249" s="7" t="inlineStr"/>
      <c r="I249" s="10" t="inlineStr"/>
    </row>
    <row r="250" ht="28" customHeight="1">
      <c r="A250" s="14" t="n">
        <v>28</v>
      </c>
      <c r="B250" s="15" t="inlineStr">
        <is>
          <t>Acc_MixedPentane</t>
        </is>
      </c>
      <c r="C250" s="16" t="inlineStr">
        <is>
          <t>Mixed Pentanes</t>
        </is>
      </c>
      <c r="D250" s="16" t="inlineStr">
        <is>
          <t>Opening Net Volume (BBLs)</t>
        </is>
      </c>
      <c r="E250" s="14" t="inlineStr">
        <is>
          <t>E</t>
        </is>
      </c>
      <c r="F250" s="8">
        <f>E135+E136+E137</f>
        <v/>
      </c>
      <c r="G250" s="9" t="inlineStr">
        <is>
          <t>SUM</t>
        </is>
      </c>
      <c r="H250" s="16" t="inlineStr">
        <is>
          <t>TK138, TK139, TK684</t>
        </is>
      </c>
      <c r="I250" s="17" t="n">
        <v>3</v>
      </c>
    </row>
    <row r="251" ht="28" customHeight="1">
      <c r="A251" s="17" t="inlineStr"/>
      <c r="B251" s="18" t="inlineStr"/>
      <c r="C251" s="16" t="inlineStr"/>
      <c r="D251" s="16" t="inlineStr">
        <is>
          <t>Opening Gravity</t>
        </is>
      </c>
      <c r="E251" s="14" t="inlineStr">
        <is>
          <t>F</t>
        </is>
      </c>
      <c r="F251" s="12">
        <f>AVERAGE(F135,F136,F137)</f>
        <v/>
      </c>
      <c r="G251" s="13" t="inlineStr">
        <is>
          <t>AVERAGE</t>
        </is>
      </c>
      <c r="H251" s="16" t="inlineStr"/>
      <c r="I251" s="17" t="inlineStr"/>
    </row>
    <row r="252" ht="28" customHeight="1">
      <c r="A252" s="17" t="inlineStr"/>
      <c r="B252" s="18" t="inlineStr"/>
      <c r="C252" s="16" t="inlineStr"/>
      <c r="D252" s="16" t="inlineStr">
        <is>
          <t>Closing Net Volume (BBLs)</t>
        </is>
      </c>
      <c r="E252" s="14" t="inlineStr">
        <is>
          <t>G</t>
        </is>
      </c>
      <c r="F252" s="8">
        <f>G135+G136+G137</f>
        <v/>
      </c>
      <c r="G252" s="9" t="inlineStr">
        <is>
          <t>SUM</t>
        </is>
      </c>
      <c r="H252" s="16" t="inlineStr"/>
      <c r="I252" s="17" t="inlineStr"/>
    </row>
    <row r="253" ht="28" customHeight="1">
      <c r="A253" s="17" t="inlineStr"/>
      <c r="B253" s="18" t="inlineStr"/>
      <c r="C253" s="16" t="inlineStr"/>
      <c r="D253" s="16" t="inlineStr">
        <is>
          <t>Closing Gross Volume (BBLs)</t>
        </is>
      </c>
      <c r="E253" s="14" t="inlineStr">
        <is>
          <t>H</t>
        </is>
      </c>
      <c r="F253" s="8">
        <f>H135+H136+H137</f>
        <v/>
      </c>
      <c r="G253" s="9" t="inlineStr">
        <is>
          <t>SUM</t>
        </is>
      </c>
      <c r="H253" s="16" t="inlineStr"/>
      <c r="I253" s="17" t="inlineStr"/>
    </row>
    <row r="254" ht="28" customHeight="1">
      <c r="A254" s="17" t="inlineStr"/>
      <c r="B254" s="18" t="inlineStr"/>
      <c r="C254" s="16" t="inlineStr"/>
      <c r="D254" s="16" t="inlineStr">
        <is>
          <t>Gravity (Closing)</t>
        </is>
      </c>
      <c r="E254" s="14" t="inlineStr">
        <is>
          <t>J</t>
        </is>
      </c>
      <c r="F254" s="12">
        <f>AVERAGE(J135,J136,J137)</f>
        <v/>
      </c>
      <c r="G254" s="13" t="inlineStr">
        <is>
          <t>AVERAGE</t>
        </is>
      </c>
      <c r="H254" s="16" t="inlineStr"/>
      <c r="I254" s="17" t="inlineStr"/>
    </row>
    <row r="255" ht="28" customHeight="1">
      <c r="A255" s="17" t="inlineStr"/>
      <c r="B255" s="18" t="inlineStr"/>
      <c r="C255" s="16" t="inlineStr"/>
      <c r="D255" s="16" t="inlineStr">
        <is>
          <t>Total Water (BBLs)</t>
        </is>
      </c>
      <c r="E255" s="14" t="inlineStr">
        <is>
          <t>L</t>
        </is>
      </c>
      <c r="F255" s="8">
        <f>L135+L136+L137</f>
        <v/>
      </c>
      <c r="G255" s="9" t="inlineStr">
        <is>
          <t>SUM</t>
        </is>
      </c>
      <c r="H255" s="16" t="inlineStr"/>
      <c r="I255" s="17" t="inlineStr"/>
    </row>
    <row r="256" ht="28" customHeight="1">
      <c r="A256" s="17" t="inlineStr"/>
      <c r="B256" s="18" t="inlineStr"/>
      <c r="C256" s="16" t="inlineStr"/>
      <c r="D256" s="16" t="inlineStr">
        <is>
          <t>Volume of Available Product (BBLs)</t>
        </is>
      </c>
      <c r="E256" s="14" t="inlineStr">
        <is>
          <t>N</t>
        </is>
      </c>
      <c r="F256" s="8">
        <f>N135+N136+N137</f>
        <v/>
      </c>
      <c r="G256" s="9" t="inlineStr">
        <is>
          <t>SUM</t>
        </is>
      </c>
      <c r="H256" s="16" t="inlineStr"/>
      <c r="I256" s="17" t="inlineStr"/>
    </row>
    <row r="257" ht="28" customHeight="1">
      <c r="A257" s="17" t="inlineStr"/>
      <c r="B257" s="18" t="inlineStr"/>
      <c r="C257" s="16" t="inlineStr"/>
      <c r="D257" s="16" t="inlineStr">
        <is>
          <t>Remaining Capacity (BBLs)</t>
        </is>
      </c>
      <c r="E257" s="14" t="inlineStr">
        <is>
          <t>O</t>
        </is>
      </c>
      <c r="F257" s="8">
        <f>O135+O136+O137</f>
        <v/>
      </c>
      <c r="G257" s="9" t="inlineStr">
        <is>
          <t>SUM</t>
        </is>
      </c>
      <c r="H257" s="16" t="inlineStr"/>
      <c r="I257" s="17" t="inlineStr"/>
    </row>
    <row r="258" ht="28" customHeight="1">
      <c r="A258" s="17" t="inlineStr"/>
      <c r="B258" s="18" t="inlineStr"/>
      <c r="C258" s="16" t="inlineStr"/>
      <c r="D258" s="16" t="inlineStr">
        <is>
          <t>Inventory Change Net Vol (BBLs)</t>
        </is>
      </c>
      <c r="E258" s="14" t="inlineStr">
        <is>
          <t>P</t>
        </is>
      </c>
      <c r="F258" s="8">
        <f>P135+P136+P137</f>
        <v/>
      </c>
      <c r="G258" s="9" t="inlineStr">
        <is>
          <t>SUM</t>
        </is>
      </c>
      <c r="H258" s="16" t="inlineStr"/>
      <c r="I258" s="17" t="inlineStr"/>
    </row>
    <row r="259" ht="28" customHeight="1">
      <c r="A259" s="5" t="n">
        <v>29</v>
      </c>
      <c r="B259" s="6" t="inlineStr">
        <is>
          <t>Acc_MoltenSulfur</t>
        </is>
      </c>
      <c r="C259" s="7" t="inlineStr">
        <is>
          <t>Molten Sulfur</t>
        </is>
      </c>
      <c r="D259" s="7" t="inlineStr">
        <is>
          <t>Opening Net Volume (BBLs)</t>
        </is>
      </c>
      <c r="E259" s="5" t="inlineStr">
        <is>
          <t>E</t>
        </is>
      </c>
      <c r="F259" s="8">
        <f>E140</f>
        <v/>
      </c>
      <c r="G259" s="9" t="inlineStr">
        <is>
          <t>SUM</t>
        </is>
      </c>
      <c r="H259" s="7" t="inlineStr">
        <is>
          <t>TK619</t>
        </is>
      </c>
      <c r="I259" s="10" t="n">
        <v>1</v>
      </c>
    </row>
    <row r="260" ht="28" customHeight="1">
      <c r="A260" s="10" t="inlineStr"/>
      <c r="B260" s="11" t="inlineStr"/>
      <c r="C260" s="7" t="inlineStr"/>
      <c r="D260" s="7" t="inlineStr">
        <is>
          <t>Opening Gravity</t>
        </is>
      </c>
      <c r="E260" s="5" t="inlineStr">
        <is>
          <t>F</t>
        </is>
      </c>
      <c r="F260" s="12">
        <f>AVERAGE(F140)</f>
        <v/>
      </c>
      <c r="G260" s="13" t="inlineStr">
        <is>
          <t>AVERAGE</t>
        </is>
      </c>
      <c r="H260" s="7" t="inlineStr"/>
      <c r="I260" s="10" t="inlineStr"/>
    </row>
    <row r="261" ht="28" customHeight="1">
      <c r="A261" s="10" t="inlineStr"/>
      <c r="B261" s="11" t="inlineStr"/>
      <c r="C261" s="7" t="inlineStr"/>
      <c r="D261" s="7" t="inlineStr">
        <is>
          <t>Closing Net Volume (BBLs)</t>
        </is>
      </c>
      <c r="E261" s="5" t="inlineStr">
        <is>
          <t>G</t>
        </is>
      </c>
      <c r="F261" s="8">
        <f>G140</f>
        <v/>
      </c>
      <c r="G261" s="9" t="inlineStr">
        <is>
          <t>SUM</t>
        </is>
      </c>
      <c r="H261" s="7" t="inlineStr"/>
      <c r="I261" s="10" t="inlineStr"/>
    </row>
    <row r="262" ht="28" customHeight="1">
      <c r="A262" s="10" t="inlineStr"/>
      <c r="B262" s="11" t="inlineStr"/>
      <c r="C262" s="7" t="inlineStr"/>
      <c r="D262" s="7" t="inlineStr">
        <is>
          <t>Closing Gross Volume (BBLs)</t>
        </is>
      </c>
      <c r="E262" s="5" t="inlineStr">
        <is>
          <t>H</t>
        </is>
      </c>
      <c r="F262" s="8">
        <f>H140</f>
        <v/>
      </c>
      <c r="G262" s="9" t="inlineStr">
        <is>
          <t>SUM</t>
        </is>
      </c>
      <c r="H262" s="7" t="inlineStr"/>
      <c r="I262" s="10" t="inlineStr"/>
    </row>
    <row r="263" ht="28" customHeight="1">
      <c r="A263" s="10" t="inlineStr"/>
      <c r="B263" s="11" t="inlineStr"/>
      <c r="C263" s="7" t="inlineStr"/>
      <c r="D263" s="7" t="inlineStr">
        <is>
          <t>Gravity (Closing)</t>
        </is>
      </c>
      <c r="E263" s="5" t="inlineStr">
        <is>
          <t>J</t>
        </is>
      </c>
      <c r="F263" s="12">
        <f>AVERAGE(J140)</f>
        <v/>
      </c>
      <c r="G263" s="13" t="inlineStr">
        <is>
          <t>AVERAGE</t>
        </is>
      </c>
      <c r="H263" s="7" t="inlineStr"/>
      <c r="I263" s="10" t="inlineStr"/>
    </row>
    <row r="264" ht="28" customHeight="1">
      <c r="A264" s="10" t="inlineStr"/>
      <c r="B264" s="11" t="inlineStr"/>
      <c r="C264" s="7" t="inlineStr"/>
      <c r="D264" s="7" t="inlineStr">
        <is>
          <t>Total Water (BBLs)</t>
        </is>
      </c>
      <c r="E264" s="5" t="inlineStr">
        <is>
          <t>L</t>
        </is>
      </c>
      <c r="F264" s="8">
        <f>L140</f>
        <v/>
      </c>
      <c r="G264" s="9" t="inlineStr">
        <is>
          <t>SUM</t>
        </is>
      </c>
      <c r="H264" s="7" t="inlineStr"/>
      <c r="I264" s="10" t="inlineStr"/>
    </row>
    <row r="265" ht="28" customHeight="1">
      <c r="A265" s="10" t="inlineStr"/>
      <c r="B265" s="11" t="inlineStr"/>
      <c r="C265" s="7" t="inlineStr"/>
      <c r="D265" s="7" t="inlineStr">
        <is>
          <t>Volume of Available Product (BBLs)</t>
        </is>
      </c>
      <c r="E265" s="5" t="inlineStr">
        <is>
          <t>N</t>
        </is>
      </c>
      <c r="F265" s="8">
        <f>N140</f>
        <v/>
      </c>
      <c r="G265" s="9" t="inlineStr">
        <is>
          <t>SUM</t>
        </is>
      </c>
      <c r="H265" s="7" t="inlineStr"/>
      <c r="I265" s="10" t="inlineStr"/>
    </row>
    <row r="266" ht="28" customHeight="1">
      <c r="A266" s="10" t="inlineStr"/>
      <c r="B266" s="11" t="inlineStr"/>
      <c r="C266" s="7" t="inlineStr"/>
      <c r="D266" s="7" t="inlineStr">
        <is>
          <t>Remaining Capacity (BBLs)</t>
        </is>
      </c>
      <c r="E266" s="5" t="inlineStr">
        <is>
          <t>O</t>
        </is>
      </c>
      <c r="F266" s="8">
        <f>O140</f>
        <v/>
      </c>
      <c r="G266" s="9" t="inlineStr">
        <is>
          <t>SUM</t>
        </is>
      </c>
      <c r="H266" s="7" t="inlineStr"/>
      <c r="I266" s="10" t="inlineStr"/>
    </row>
    <row r="267" ht="28" customHeight="1">
      <c r="A267" s="10" t="inlineStr"/>
      <c r="B267" s="11" t="inlineStr"/>
      <c r="C267" s="7" t="inlineStr"/>
      <c r="D267" s="7" t="inlineStr">
        <is>
          <t>Inventory Change Net Vol (BBLs)</t>
        </is>
      </c>
      <c r="E267" s="5" t="inlineStr">
        <is>
          <t>P</t>
        </is>
      </c>
      <c r="F267" s="8">
        <f>P140</f>
        <v/>
      </c>
      <c r="G267" s="9" t="inlineStr">
        <is>
          <t>SUM</t>
        </is>
      </c>
      <c r="H267" s="7" t="inlineStr"/>
      <c r="I267" s="10" t="inlineStr"/>
    </row>
    <row r="268" ht="28" customHeight="1">
      <c r="A268" s="14" t="n">
        <v>30</v>
      </c>
      <c r="B268" s="15" t="inlineStr">
        <is>
          <t>Acc_NormalButane</t>
        </is>
      </c>
      <c r="C268" s="16" t="inlineStr">
        <is>
          <t>Normal Butane</t>
        </is>
      </c>
      <c r="D268" s="16" t="inlineStr">
        <is>
          <t>Opening Net Volume (BBLs)</t>
        </is>
      </c>
      <c r="E268" s="14" t="inlineStr">
        <is>
          <t>E</t>
        </is>
      </c>
      <c r="F268" s="8">
        <f>E143+E144+E145+E146</f>
        <v/>
      </c>
      <c r="G268" s="9" t="inlineStr">
        <is>
          <t>SUM</t>
        </is>
      </c>
      <c r="H268" s="16" t="inlineStr">
        <is>
          <t>LF_002, TK79, TK86, TK87</t>
        </is>
      </c>
      <c r="I268" s="17" t="n">
        <v>4</v>
      </c>
    </row>
    <row r="269" ht="28" customHeight="1">
      <c r="A269" s="17" t="inlineStr"/>
      <c r="B269" s="18" t="inlineStr"/>
      <c r="C269" s="16" t="inlineStr"/>
      <c r="D269" s="16" t="inlineStr">
        <is>
          <t>Opening Gravity</t>
        </is>
      </c>
      <c r="E269" s="14" t="inlineStr">
        <is>
          <t>F</t>
        </is>
      </c>
      <c r="F269" s="12">
        <f>AVERAGE(F143,F144,F145,F146)</f>
        <v/>
      </c>
      <c r="G269" s="13" t="inlineStr">
        <is>
          <t>AVERAGE</t>
        </is>
      </c>
      <c r="H269" s="16" t="inlineStr"/>
      <c r="I269" s="17" t="inlineStr"/>
    </row>
    <row r="270" ht="28" customHeight="1">
      <c r="A270" s="17" t="inlineStr"/>
      <c r="B270" s="18" t="inlineStr"/>
      <c r="C270" s="16" t="inlineStr"/>
      <c r="D270" s="16" t="inlineStr">
        <is>
          <t>Closing Net Volume (BBLs)</t>
        </is>
      </c>
      <c r="E270" s="14" t="inlineStr">
        <is>
          <t>G</t>
        </is>
      </c>
      <c r="F270" s="8">
        <f>G143+G144+G145+G146</f>
        <v/>
      </c>
      <c r="G270" s="9" t="inlineStr">
        <is>
          <t>SUM</t>
        </is>
      </c>
      <c r="H270" s="16" t="inlineStr"/>
      <c r="I270" s="17" t="inlineStr"/>
    </row>
    <row r="271" ht="28" customHeight="1">
      <c r="A271" s="17" t="inlineStr"/>
      <c r="B271" s="18" t="inlineStr"/>
      <c r="C271" s="16" t="inlineStr"/>
      <c r="D271" s="16" t="inlineStr">
        <is>
          <t>Closing Gross Volume (BBLs)</t>
        </is>
      </c>
      <c r="E271" s="14" t="inlineStr">
        <is>
          <t>H</t>
        </is>
      </c>
      <c r="F271" s="8">
        <f>H143+H144+H145+H146</f>
        <v/>
      </c>
      <c r="G271" s="9" t="inlineStr">
        <is>
          <t>SUM</t>
        </is>
      </c>
      <c r="H271" s="16" t="inlineStr"/>
      <c r="I271" s="17" t="inlineStr"/>
    </row>
    <row r="272" ht="28" customHeight="1">
      <c r="A272" s="17" t="inlineStr"/>
      <c r="B272" s="18" t="inlineStr"/>
      <c r="C272" s="16" t="inlineStr"/>
      <c r="D272" s="16" t="inlineStr">
        <is>
          <t>Gravity (Closing)</t>
        </is>
      </c>
      <c r="E272" s="14" t="inlineStr">
        <is>
          <t>J</t>
        </is>
      </c>
      <c r="F272" s="12">
        <f>AVERAGE(J143,J144,J145,J146)</f>
        <v/>
      </c>
      <c r="G272" s="13" t="inlineStr">
        <is>
          <t>AVERAGE</t>
        </is>
      </c>
      <c r="H272" s="16" t="inlineStr"/>
      <c r="I272" s="17" t="inlineStr"/>
    </row>
    <row r="273" ht="28" customHeight="1">
      <c r="A273" s="17" t="inlineStr"/>
      <c r="B273" s="18" t="inlineStr"/>
      <c r="C273" s="16" t="inlineStr"/>
      <c r="D273" s="16" t="inlineStr">
        <is>
          <t>Total Water (BBLs)</t>
        </is>
      </c>
      <c r="E273" s="14" t="inlineStr">
        <is>
          <t>L</t>
        </is>
      </c>
      <c r="F273" s="8">
        <f>L143+L144+L145+L146</f>
        <v/>
      </c>
      <c r="G273" s="9" t="inlineStr">
        <is>
          <t>SUM</t>
        </is>
      </c>
      <c r="H273" s="16" t="inlineStr"/>
      <c r="I273" s="17" t="inlineStr"/>
    </row>
    <row r="274" ht="28" customHeight="1">
      <c r="A274" s="17" t="inlineStr"/>
      <c r="B274" s="18" t="inlineStr"/>
      <c r="C274" s="16" t="inlineStr"/>
      <c r="D274" s="16" t="inlineStr">
        <is>
          <t>Volume of Available Product (BBLs)</t>
        </is>
      </c>
      <c r="E274" s="14" t="inlineStr">
        <is>
          <t>N</t>
        </is>
      </c>
      <c r="F274" s="8">
        <f>N143+N144+N145+N146</f>
        <v/>
      </c>
      <c r="G274" s="9" t="inlineStr">
        <is>
          <t>SUM</t>
        </is>
      </c>
      <c r="H274" s="16" t="inlineStr"/>
      <c r="I274" s="17" t="inlineStr"/>
    </row>
    <row r="275" ht="28" customHeight="1">
      <c r="A275" s="17" t="inlineStr"/>
      <c r="B275" s="18" t="inlineStr"/>
      <c r="C275" s="16" t="inlineStr"/>
      <c r="D275" s="16" t="inlineStr">
        <is>
          <t>Remaining Capacity (BBLs)</t>
        </is>
      </c>
      <c r="E275" s="14" t="inlineStr">
        <is>
          <t>O</t>
        </is>
      </c>
      <c r="F275" s="8">
        <f>O143+O144+O145+O146</f>
        <v/>
      </c>
      <c r="G275" s="9" t="inlineStr">
        <is>
          <t>SUM</t>
        </is>
      </c>
      <c r="H275" s="16" t="inlineStr"/>
      <c r="I275" s="17" t="inlineStr"/>
    </row>
    <row r="276" ht="28" customHeight="1">
      <c r="A276" s="17" t="inlineStr"/>
      <c r="B276" s="18" t="inlineStr"/>
      <c r="C276" s="16" t="inlineStr"/>
      <c r="D276" s="16" t="inlineStr">
        <is>
          <t>Inventory Change Net Vol (BBLs)</t>
        </is>
      </c>
      <c r="E276" s="14" t="inlineStr">
        <is>
          <t>P</t>
        </is>
      </c>
      <c r="F276" s="8">
        <f>P143+P144+P145+P146</f>
        <v/>
      </c>
      <c r="G276" s="9" t="inlineStr">
        <is>
          <t>SUM</t>
        </is>
      </c>
      <c r="H276" s="16" t="inlineStr"/>
      <c r="I276" s="17" t="inlineStr"/>
    </row>
    <row r="277" ht="28" customHeight="1">
      <c r="A277" s="5" t="n">
        <v>31</v>
      </c>
      <c r="B277" s="6" t="inlineStr">
        <is>
          <t>Acc_OOS</t>
        </is>
      </c>
      <c r="C277" s="7" t="inlineStr">
        <is>
          <t>Out of Service</t>
        </is>
      </c>
      <c r="D277" s="7" t="inlineStr">
        <is>
          <t>Opening Net Volume (BBLs)</t>
        </is>
      </c>
      <c r="E277" s="5" t="inlineStr">
        <is>
          <t>E</t>
        </is>
      </c>
      <c r="F277" s="8">
        <f>E149+E150+E151+E152+E153+E154+E155+E156+E157</f>
        <v/>
      </c>
      <c r="G277" s="9" t="inlineStr">
        <is>
          <t>SUM</t>
        </is>
      </c>
      <c r="H277" s="7" t="inlineStr">
        <is>
          <t>TK155, TK157, TK187, TK289, TK355, TK42, TK620, TK776, TK905</t>
        </is>
      </c>
      <c r="I277" s="10" t="n">
        <v>9</v>
      </c>
    </row>
    <row r="278" ht="28" customHeight="1">
      <c r="A278" s="10" t="inlineStr"/>
      <c r="B278" s="11" t="inlineStr"/>
      <c r="C278" s="7" t="inlineStr"/>
      <c r="D278" s="7" t="inlineStr">
        <is>
          <t>Opening Gravity</t>
        </is>
      </c>
      <c r="E278" s="5" t="inlineStr">
        <is>
          <t>F</t>
        </is>
      </c>
      <c r="F278" s="12">
        <f>AVERAGE(F149,F150,F151,F152,F153,F154,F155,F156,F157)</f>
        <v/>
      </c>
      <c r="G278" s="13" t="inlineStr">
        <is>
          <t>AVERAGE</t>
        </is>
      </c>
      <c r="H278" s="7" t="inlineStr"/>
      <c r="I278" s="10" t="inlineStr"/>
    </row>
    <row r="279" ht="28" customHeight="1">
      <c r="A279" s="10" t="inlineStr"/>
      <c r="B279" s="11" t="inlineStr"/>
      <c r="C279" s="7" t="inlineStr"/>
      <c r="D279" s="7" t="inlineStr">
        <is>
          <t>Closing Net Volume (BBLs)</t>
        </is>
      </c>
      <c r="E279" s="5" t="inlineStr">
        <is>
          <t>G</t>
        </is>
      </c>
      <c r="F279" s="8">
        <f>G149+G150+G151+G152+G153+G154+G155+G156+G157</f>
        <v/>
      </c>
      <c r="G279" s="9" t="inlineStr">
        <is>
          <t>SUM</t>
        </is>
      </c>
      <c r="H279" s="7" t="inlineStr"/>
      <c r="I279" s="10" t="inlineStr"/>
    </row>
    <row r="280" ht="28" customHeight="1">
      <c r="A280" s="10" t="inlineStr"/>
      <c r="B280" s="11" t="inlineStr"/>
      <c r="C280" s="7" t="inlineStr"/>
      <c r="D280" s="7" t="inlineStr">
        <is>
          <t>Closing Gross Volume (BBLs)</t>
        </is>
      </c>
      <c r="E280" s="5" t="inlineStr">
        <is>
          <t>H</t>
        </is>
      </c>
      <c r="F280" s="8">
        <f>H149+H150+H151+H152+H153+H154+H155+H156+H157</f>
        <v/>
      </c>
      <c r="G280" s="9" t="inlineStr">
        <is>
          <t>SUM</t>
        </is>
      </c>
      <c r="H280" s="7" t="inlineStr"/>
      <c r="I280" s="10" t="inlineStr"/>
    </row>
    <row r="281" ht="28" customHeight="1">
      <c r="A281" s="10" t="inlineStr"/>
      <c r="B281" s="11" t="inlineStr"/>
      <c r="C281" s="7" t="inlineStr"/>
      <c r="D281" s="7" t="inlineStr">
        <is>
          <t>Gravity (Closing)</t>
        </is>
      </c>
      <c r="E281" s="5" t="inlineStr">
        <is>
          <t>J</t>
        </is>
      </c>
      <c r="F281" s="12">
        <f>AVERAGE(J149,J150,J151,J152,J153,J154,J155,J156,J157)</f>
        <v/>
      </c>
      <c r="G281" s="13" t="inlineStr">
        <is>
          <t>AVERAGE</t>
        </is>
      </c>
      <c r="H281" s="7" t="inlineStr"/>
      <c r="I281" s="10" t="inlineStr"/>
    </row>
    <row r="282" ht="28" customHeight="1">
      <c r="A282" s="10" t="inlineStr"/>
      <c r="B282" s="11" t="inlineStr"/>
      <c r="C282" s="7" t="inlineStr"/>
      <c r="D282" s="7" t="inlineStr">
        <is>
          <t>Total Water (BBLs)</t>
        </is>
      </c>
      <c r="E282" s="5" t="inlineStr">
        <is>
          <t>L</t>
        </is>
      </c>
      <c r="F282" s="8">
        <f>L149+L150+L151+L152+L153+L154+L155+L156+L157</f>
        <v/>
      </c>
      <c r="G282" s="9" t="inlineStr">
        <is>
          <t>SUM</t>
        </is>
      </c>
      <c r="H282" s="7" t="inlineStr"/>
      <c r="I282" s="10" t="inlineStr"/>
    </row>
    <row r="283" ht="28" customHeight="1">
      <c r="A283" s="10" t="inlineStr"/>
      <c r="B283" s="11" t="inlineStr"/>
      <c r="C283" s="7" t="inlineStr"/>
      <c r="D283" s="7" t="inlineStr">
        <is>
          <t>Volume of Available Product (BBLs)</t>
        </is>
      </c>
      <c r="E283" s="5" t="inlineStr">
        <is>
          <t>N</t>
        </is>
      </c>
      <c r="F283" s="8">
        <f>N149+N150+N151+N152+N153+N154+N155+N156+N157</f>
        <v/>
      </c>
      <c r="G283" s="9" t="inlineStr">
        <is>
          <t>SUM</t>
        </is>
      </c>
      <c r="H283" s="7" t="inlineStr"/>
      <c r="I283" s="10" t="inlineStr"/>
    </row>
    <row r="284" ht="28" customHeight="1">
      <c r="A284" s="10" t="inlineStr"/>
      <c r="B284" s="11" t="inlineStr"/>
      <c r="C284" s="7" t="inlineStr"/>
      <c r="D284" s="7" t="inlineStr">
        <is>
          <t>Remaining Capacity (BBLs)</t>
        </is>
      </c>
      <c r="E284" s="5" t="inlineStr">
        <is>
          <t>O</t>
        </is>
      </c>
      <c r="F284" s="8">
        <f>O149+O150+O151+O152+O153+O154+O155+O156+O157</f>
        <v/>
      </c>
      <c r="G284" s="9" t="inlineStr">
        <is>
          <t>SUM</t>
        </is>
      </c>
      <c r="H284" s="7" t="inlineStr"/>
      <c r="I284" s="10" t="inlineStr"/>
    </row>
    <row r="285" ht="28" customHeight="1">
      <c r="A285" s="10" t="inlineStr"/>
      <c r="B285" s="11" t="inlineStr"/>
      <c r="C285" s="7" t="inlineStr"/>
      <c r="D285" s="7" t="inlineStr">
        <is>
          <t>Inventory Change Net Vol (BBLs)</t>
        </is>
      </c>
      <c r="E285" s="5" t="inlineStr">
        <is>
          <t>P</t>
        </is>
      </c>
      <c r="F285" s="8">
        <f>P149+P150+P151+P152+P153+P154+P155+P156+P157</f>
        <v/>
      </c>
      <c r="G285" s="9" t="inlineStr">
        <is>
          <t>SUM</t>
        </is>
      </c>
      <c r="H285" s="7" t="inlineStr"/>
      <c r="I285" s="10" t="inlineStr"/>
    </row>
    <row r="286" ht="28" customHeight="1">
      <c r="A286" s="14" t="n">
        <v>32</v>
      </c>
      <c r="B286" s="15" t="inlineStr">
        <is>
          <t>Acc_PetCoke</t>
        </is>
      </c>
      <c r="C286" s="16" t="inlineStr">
        <is>
          <t>Petroleum Coke</t>
        </is>
      </c>
      <c r="D286" s="16" t="inlineStr">
        <is>
          <t>Opening Net Volume (BBLs)</t>
        </is>
      </c>
      <c r="E286" s="14" t="inlineStr">
        <is>
          <t>E</t>
        </is>
      </c>
      <c r="F286" s="8">
        <f>E160</f>
        <v/>
      </c>
      <c r="G286" s="9" t="inlineStr">
        <is>
          <t>SUM</t>
        </is>
      </c>
      <c r="H286" s="16" t="inlineStr">
        <is>
          <t>TK_Coke</t>
        </is>
      </c>
      <c r="I286" s="17" t="n">
        <v>1</v>
      </c>
    </row>
    <row r="287" ht="28" customHeight="1">
      <c r="A287" s="17" t="inlineStr"/>
      <c r="B287" s="18" t="inlineStr"/>
      <c r="C287" s="16" t="inlineStr"/>
      <c r="D287" s="16" t="inlineStr">
        <is>
          <t>Opening Gravity</t>
        </is>
      </c>
      <c r="E287" s="14" t="inlineStr">
        <is>
          <t>F</t>
        </is>
      </c>
      <c r="F287" s="12">
        <f>AVERAGE(F160)</f>
        <v/>
      </c>
      <c r="G287" s="13" t="inlineStr">
        <is>
          <t>AVERAGE</t>
        </is>
      </c>
      <c r="H287" s="16" t="inlineStr"/>
      <c r="I287" s="17" t="inlineStr"/>
    </row>
    <row r="288" ht="28" customHeight="1">
      <c r="A288" s="17" t="inlineStr"/>
      <c r="B288" s="18" t="inlineStr"/>
      <c r="C288" s="16" t="inlineStr"/>
      <c r="D288" s="16" t="inlineStr">
        <is>
          <t>Closing Net Volume (BBLs)</t>
        </is>
      </c>
      <c r="E288" s="14" t="inlineStr">
        <is>
          <t>G</t>
        </is>
      </c>
      <c r="F288" s="8">
        <f>G160</f>
        <v/>
      </c>
      <c r="G288" s="9" t="inlineStr">
        <is>
          <t>SUM</t>
        </is>
      </c>
      <c r="H288" s="16" t="inlineStr"/>
      <c r="I288" s="17" t="inlineStr"/>
    </row>
    <row r="289" ht="28" customHeight="1">
      <c r="A289" s="17" t="inlineStr"/>
      <c r="B289" s="18" t="inlineStr"/>
      <c r="C289" s="16" t="inlineStr"/>
      <c r="D289" s="16" t="inlineStr">
        <is>
          <t>Closing Gross Volume (BBLs)</t>
        </is>
      </c>
      <c r="E289" s="14" t="inlineStr">
        <is>
          <t>H</t>
        </is>
      </c>
      <c r="F289" s="8">
        <f>H160</f>
        <v/>
      </c>
      <c r="G289" s="9" t="inlineStr">
        <is>
          <t>SUM</t>
        </is>
      </c>
      <c r="H289" s="16" t="inlineStr"/>
      <c r="I289" s="17" t="inlineStr"/>
    </row>
    <row r="290" ht="28" customHeight="1">
      <c r="A290" s="17" t="inlineStr"/>
      <c r="B290" s="18" t="inlineStr"/>
      <c r="C290" s="16" t="inlineStr"/>
      <c r="D290" s="16" t="inlineStr">
        <is>
          <t>Gravity (Closing)</t>
        </is>
      </c>
      <c r="E290" s="14" t="inlineStr">
        <is>
          <t>J</t>
        </is>
      </c>
      <c r="F290" s="12">
        <f>AVERAGE(J160)</f>
        <v/>
      </c>
      <c r="G290" s="13" t="inlineStr">
        <is>
          <t>AVERAGE</t>
        </is>
      </c>
      <c r="H290" s="16" t="inlineStr"/>
      <c r="I290" s="17" t="inlineStr"/>
    </row>
    <row r="291" ht="28" customHeight="1">
      <c r="A291" s="17" t="inlineStr"/>
      <c r="B291" s="18" t="inlineStr"/>
      <c r="C291" s="16" t="inlineStr"/>
      <c r="D291" s="16" t="inlineStr">
        <is>
          <t>Total Water (BBLs)</t>
        </is>
      </c>
      <c r="E291" s="14" t="inlineStr">
        <is>
          <t>L</t>
        </is>
      </c>
      <c r="F291" s="8">
        <f>L160</f>
        <v/>
      </c>
      <c r="G291" s="9" t="inlineStr">
        <is>
          <t>SUM</t>
        </is>
      </c>
      <c r="H291" s="16" t="inlineStr"/>
      <c r="I291" s="17" t="inlineStr"/>
    </row>
    <row r="292" ht="28" customHeight="1">
      <c r="A292" s="17" t="inlineStr"/>
      <c r="B292" s="18" t="inlineStr"/>
      <c r="C292" s="16" t="inlineStr"/>
      <c r="D292" s="16" t="inlineStr">
        <is>
          <t>Volume of Available Product (BBLs)</t>
        </is>
      </c>
      <c r="E292" s="14" t="inlineStr">
        <is>
          <t>N</t>
        </is>
      </c>
      <c r="F292" s="8">
        <f>N160</f>
        <v/>
      </c>
      <c r="G292" s="9" t="inlineStr">
        <is>
          <t>SUM</t>
        </is>
      </c>
      <c r="H292" s="16" t="inlineStr"/>
      <c r="I292" s="17" t="inlineStr"/>
    </row>
    <row r="293" ht="28" customHeight="1">
      <c r="A293" s="17" t="inlineStr"/>
      <c r="B293" s="18" t="inlineStr"/>
      <c r="C293" s="16" t="inlineStr"/>
      <c r="D293" s="16" t="inlineStr">
        <is>
          <t>Remaining Capacity (BBLs)</t>
        </is>
      </c>
      <c r="E293" s="14" t="inlineStr">
        <is>
          <t>O</t>
        </is>
      </c>
      <c r="F293" s="8">
        <f>O160</f>
        <v/>
      </c>
      <c r="G293" s="9" t="inlineStr">
        <is>
          <t>SUM</t>
        </is>
      </c>
      <c r="H293" s="16" t="inlineStr"/>
      <c r="I293" s="17" t="inlineStr"/>
    </row>
    <row r="294" ht="28" customHeight="1">
      <c r="A294" s="17" t="inlineStr"/>
      <c r="B294" s="18" t="inlineStr"/>
      <c r="C294" s="16" t="inlineStr"/>
      <c r="D294" s="16" t="inlineStr">
        <is>
          <t>Inventory Change Net Vol (BBLs)</t>
        </is>
      </c>
      <c r="E294" s="14" t="inlineStr">
        <is>
          <t>P</t>
        </is>
      </c>
      <c r="F294" s="8">
        <f>P160</f>
        <v/>
      </c>
      <c r="G294" s="9" t="inlineStr">
        <is>
          <t>SUM</t>
        </is>
      </c>
      <c r="H294" s="16" t="inlineStr"/>
      <c r="I294" s="17" t="inlineStr"/>
    </row>
    <row r="295" ht="28" customHeight="1">
      <c r="A295" s="5" t="n">
        <v>33</v>
      </c>
      <c r="B295" s="6" t="inlineStr">
        <is>
          <t>Acc_Reformate</t>
        </is>
      </c>
      <c r="C295" s="7" t="inlineStr">
        <is>
          <t>Reformate</t>
        </is>
      </c>
      <c r="D295" s="7" t="inlineStr">
        <is>
          <t>Opening Net Volume (BBLs)</t>
        </is>
      </c>
      <c r="E295" s="5" t="inlineStr">
        <is>
          <t>E</t>
        </is>
      </c>
      <c r="F295" s="8">
        <f>E163+E164</f>
        <v/>
      </c>
      <c r="G295" s="9" t="inlineStr">
        <is>
          <t>SUM</t>
        </is>
      </c>
      <c r="H295" s="7" t="inlineStr">
        <is>
          <t>TK62, TK63</t>
        </is>
      </c>
      <c r="I295" s="10" t="n">
        <v>2</v>
      </c>
    </row>
    <row r="296" ht="28" customHeight="1">
      <c r="A296" s="10" t="inlineStr"/>
      <c r="B296" s="11" t="inlineStr"/>
      <c r="C296" s="7" t="inlineStr"/>
      <c r="D296" s="7" t="inlineStr">
        <is>
          <t>Opening Gravity</t>
        </is>
      </c>
      <c r="E296" s="5" t="inlineStr">
        <is>
          <t>F</t>
        </is>
      </c>
      <c r="F296" s="12">
        <f>AVERAGE(F163,F164)</f>
        <v/>
      </c>
      <c r="G296" s="13" t="inlineStr">
        <is>
          <t>AVERAGE</t>
        </is>
      </c>
      <c r="H296" s="7" t="inlineStr"/>
      <c r="I296" s="10" t="inlineStr"/>
    </row>
    <row r="297" ht="28" customHeight="1">
      <c r="A297" s="10" t="inlineStr"/>
      <c r="B297" s="11" t="inlineStr"/>
      <c r="C297" s="7" t="inlineStr"/>
      <c r="D297" s="7" t="inlineStr">
        <is>
          <t>Closing Net Volume (BBLs)</t>
        </is>
      </c>
      <c r="E297" s="5" t="inlineStr">
        <is>
          <t>G</t>
        </is>
      </c>
      <c r="F297" s="8">
        <f>G163+G164</f>
        <v/>
      </c>
      <c r="G297" s="9" t="inlineStr">
        <is>
          <t>SUM</t>
        </is>
      </c>
      <c r="H297" s="7" t="inlineStr"/>
      <c r="I297" s="10" t="inlineStr"/>
    </row>
    <row r="298" ht="28" customHeight="1">
      <c r="A298" s="10" t="inlineStr"/>
      <c r="B298" s="11" t="inlineStr"/>
      <c r="C298" s="7" t="inlineStr"/>
      <c r="D298" s="7" t="inlineStr">
        <is>
          <t>Closing Gross Volume (BBLs)</t>
        </is>
      </c>
      <c r="E298" s="5" t="inlineStr">
        <is>
          <t>H</t>
        </is>
      </c>
      <c r="F298" s="8">
        <f>H163+H164</f>
        <v/>
      </c>
      <c r="G298" s="9" t="inlineStr">
        <is>
          <t>SUM</t>
        </is>
      </c>
      <c r="H298" s="7" t="inlineStr"/>
      <c r="I298" s="10" t="inlineStr"/>
    </row>
    <row r="299" ht="28" customHeight="1">
      <c r="A299" s="10" t="inlineStr"/>
      <c r="B299" s="11" t="inlineStr"/>
      <c r="C299" s="7" t="inlineStr"/>
      <c r="D299" s="7" t="inlineStr">
        <is>
          <t>Gravity (Closing)</t>
        </is>
      </c>
      <c r="E299" s="5" t="inlineStr">
        <is>
          <t>J</t>
        </is>
      </c>
      <c r="F299" s="12">
        <f>AVERAGE(J163,J164)</f>
        <v/>
      </c>
      <c r="G299" s="13" t="inlineStr">
        <is>
          <t>AVERAGE</t>
        </is>
      </c>
      <c r="H299" s="7" t="inlineStr"/>
      <c r="I299" s="10" t="inlineStr"/>
    </row>
    <row r="300" ht="28" customHeight="1">
      <c r="A300" s="10" t="inlineStr"/>
      <c r="B300" s="11" t="inlineStr"/>
      <c r="C300" s="7" t="inlineStr"/>
      <c r="D300" s="7" t="inlineStr">
        <is>
          <t>Total Water (BBLs)</t>
        </is>
      </c>
      <c r="E300" s="5" t="inlineStr">
        <is>
          <t>L</t>
        </is>
      </c>
      <c r="F300" s="8">
        <f>L163+L164</f>
        <v/>
      </c>
      <c r="G300" s="9" t="inlineStr">
        <is>
          <t>SUM</t>
        </is>
      </c>
      <c r="H300" s="7" t="inlineStr"/>
      <c r="I300" s="10" t="inlineStr"/>
    </row>
    <row r="301" ht="28" customHeight="1">
      <c r="A301" s="10" t="inlineStr"/>
      <c r="B301" s="11" t="inlineStr"/>
      <c r="C301" s="7" t="inlineStr"/>
      <c r="D301" s="7" t="inlineStr">
        <is>
          <t>Volume of Available Product (BBLs)</t>
        </is>
      </c>
      <c r="E301" s="5" t="inlineStr">
        <is>
          <t>N</t>
        </is>
      </c>
      <c r="F301" s="8">
        <f>N163+N164</f>
        <v/>
      </c>
      <c r="G301" s="9" t="inlineStr">
        <is>
          <t>SUM</t>
        </is>
      </c>
      <c r="H301" s="7" t="inlineStr"/>
      <c r="I301" s="10" t="inlineStr"/>
    </row>
    <row r="302" ht="28" customHeight="1">
      <c r="A302" s="10" t="inlineStr"/>
      <c r="B302" s="11" t="inlineStr"/>
      <c r="C302" s="7" t="inlineStr"/>
      <c r="D302" s="7" t="inlineStr">
        <is>
          <t>Remaining Capacity (BBLs)</t>
        </is>
      </c>
      <c r="E302" s="5" t="inlineStr">
        <is>
          <t>O</t>
        </is>
      </c>
      <c r="F302" s="8">
        <f>O163+O164</f>
        <v/>
      </c>
      <c r="G302" s="9" t="inlineStr">
        <is>
          <t>SUM</t>
        </is>
      </c>
      <c r="H302" s="7" t="inlineStr"/>
      <c r="I302" s="10" t="inlineStr"/>
    </row>
    <row r="303" ht="28" customHeight="1">
      <c r="A303" s="10" t="inlineStr"/>
      <c r="B303" s="11" t="inlineStr"/>
      <c r="C303" s="7" t="inlineStr"/>
      <c r="D303" s="7" t="inlineStr">
        <is>
          <t>Inventory Change Net Vol (BBLs)</t>
        </is>
      </c>
      <c r="E303" s="5" t="inlineStr">
        <is>
          <t>P</t>
        </is>
      </c>
      <c r="F303" s="8">
        <f>P163+P164</f>
        <v/>
      </c>
      <c r="G303" s="9" t="inlineStr">
        <is>
          <t>SUM</t>
        </is>
      </c>
      <c r="H303" s="7" t="inlineStr"/>
      <c r="I303" s="10" t="inlineStr"/>
    </row>
    <row r="304" ht="28" customHeight="1">
      <c r="A304" s="14" t="n">
        <v>34</v>
      </c>
      <c r="B304" s="15" t="inlineStr">
        <is>
          <t>Acc_RefPropylene</t>
        </is>
      </c>
      <c r="C304" s="16" t="inlineStr">
        <is>
          <t>Refinery Grade Propylene</t>
        </is>
      </c>
      <c r="D304" s="16" t="inlineStr">
        <is>
          <t>Opening Net Volume (BBLs)</t>
        </is>
      </c>
      <c r="E304" s="14" t="inlineStr">
        <is>
          <t>E</t>
        </is>
      </c>
      <c r="F304" s="8">
        <f>E167+E168+E169+E170</f>
        <v/>
      </c>
      <c r="G304" s="9" t="inlineStr">
        <is>
          <t>SUM</t>
        </is>
      </c>
      <c r="H304" s="16" t="inlineStr">
        <is>
          <t>TK350, TK351, TK352, TK353</t>
        </is>
      </c>
      <c r="I304" s="17" t="n">
        <v>4</v>
      </c>
    </row>
    <row r="305" ht="28" customHeight="1">
      <c r="A305" s="17" t="inlineStr"/>
      <c r="B305" s="18" t="inlineStr"/>
      <c r="C305" s="16" t="inlineStr"/>
      <c r="D305" s="16" t="inlineStr">
        <is>
          <t>Opening Gravity</t>
        </is>
      </c>
      <c r="E305" s="14" t="inlineStr">
        <is>
          <t>F</t>
        </is>
      </c>
      <c r="F305" s="12">
        <f>AVERAGE(F167,F168,F169,F170)</f>
        <v/>
      </c>
      <c r="G305" s="13" t="inlineStr">
        <is>
          <t>AVERAGE</t>
        </is>
      </c>
      <c r="H305" s="16" t="inlineStr"/>
      <c r="I305" s="17" t="inlineStr"/>
    </row>
    <row r="306" ht="28" customHeight="1">
      <c r="A306" s="17" t="inlineStr"/>
      <c r="B306" s="18" t="inlineStr"/>
      <c r="C306" s="16" t="inlineStr"/>
      <c r="D306" s="16" t="inlineStr">
        <is>
          <t>Closing Net Volume (BBLs)</t>
        </is>
      </c>
      <c r="E306" s="14" t="inlineStr">
        <is>
          <t>G</t>
        </is>
      </c>
      <c r="F306" s="8">
        <f>G167+G168+G169+G170</f>
        <v/>
      </c>
      <c r="G306" s="9" t="inlineStr">
        <is>
          <t>SUM</t>
        </is>
      </c>
      <c r="H306" s="16" t="inlineStr"/>
      <c r="I306" s="17" t="inlineStr"/>
    </row>
    <row r="307" ht="28" customHeight="1">
      <c r="A307" s="17" t="inlineStr"/>
      <c r="B307" s="18" t="inlineStr"/>
      <c r="C307" s="16" t="inlineStr"/>
      <c r="D307" s="16" t="inlineStr">
        <is>
          <t>Closing Gross Volume (BBLs)</t>
        </is>
      </c>
      <c r="E307" s="14" t="inlineStr">
        <is>
          <t>H</t>
        </is>
      </c>
      <c r="F307" s="8">
        <f>H167+H168+H169+H170</f>
        <v/>
      </c>
      <c r="G307" s="9" t="inlineStr">
        <is>
          <t>SUM</t>
        </is>
      </c>
      <c r="H307" s="16" t="inlineStr"/>
      <c r="I307" s="17" t="inlineStr"/>
    </row>
    <row r="308" ht="28" customHeight="1">
      <c r="A308" s="17" t="inlineStr"/>
      <c r="B308" s="18" t="inlineStr"/>
      <c r="C308" s="16" t="inlineStr"/>
      <c r="D308" s="16" t="inlineStr">
        <is>
          <t>Gravity (Closing)</t>
        </is>
      </c>
      <c r="E308" s="14" t="inlineStr">
        <is>
          <t>J</t>
        </is>
      </c>
      <c r="F308" s="12">
        <f>AVERAGE(J167,J168,J169,J170)</f>
        <v/>
      </c>
      <c r="G308" s="13" t="inlineStr">
        <is>
          <t>AVERAGE</t>
        </is>
      </c>
      <c r="H308" s="16" t="inlineStr"/>
      <c r="I308" s="17" t="inlineStr"/>
    </row>
    <row r="309" ht="28" customHeight="1">
      <c r="A309" s="17" t="inlineStr"/>
      <c r="B309" s="18" t="inlineStr"/>
      <c r="C309" s="16" t="inlineStr"/>
      <c r="D309" s="16" t="inlineStr">
        <is>
          <t>Total Water (BBLs)</t>
        </is>
      </c>
      <c r="E309" s="14" t="inlineStr">
        <is>
          <t>L</t>
        </is>
      </c>
      <c r="F309" s="8">
        <f>L167+L168+L169+L170</f>
        <v/>
      </c>
      <c r="G309" s="9" t="inlineStr">
        <is>
          <t>SUM</t>
        </is>
      </c>
      <c r="H309" s="16" t="inlineStr"/>
      <c r="I309" s="17" t="inlineStr"/>
    </row>
    <row r="310" ht="28" customHeight="1">
      <c r="A310" s="17" t="inlineStr"/>
      <c r="B310" s="18" t="inlineStr"/>
      <c r="C310" s="16" t="inlineStr"/>
      <c r="D310" s="16" t="inlineStr">
        <is>
          <t>Volume of Available Product (BBLs)</t>
        </is>
      </c>
      <c r="E310" s="14" t="inlineStr">
        <is>
          <t>N</t>
        </is>
      </c>
      <c r="F310" s="8">
        <f>N167+N168+N169+N170</f>
        <v/>
      </c>
      <c r="G310" s="9" t="inlineStr">
        <is>
          <t>SUM</t>
        </is>
      </c>
      <c r="H310" s="16" t="inlineStr"/>
      <c r="I310" s="17" t="inlineStr"/>
    </row>
    <row r="311" ht="28" customHeight="1">
      <c r="A311" s="17" t="inlineStr"/>
      <c r="B311" s="18" t="inlineStr"/>
      <c r="C311" s="16" t="inlineStr"/>
      <c r="D311" s="16" t="inlineStr">
        <is>
          <t>Remaining Capacity (BBLs)</t>
        </is>
      </c>
      <c r="E311" s="14" t="inlineStr">
        <is>
          <t>O</t>
        </is>
      </c>
      <c r="F311" s="8">
        <f>O167+O168+O169+O170</f>
        <v/>
      </c>
      <c r="G311" s="9" t="inlineStr">
        <is>
          <t>SUM</t>
        </is>
      </c>
      <c r="H311" s="16" t="inlineStr"/>
      <c r="I311" s="17" t="inlineStr"/>
    </row>
    <row r="312" ht="28" customHeight="1">
      <c r="A312" s="17" t="inlineStr"/>
      <c r="B312" s="18" t="inlineStr"/>
      <c r="C312" s="16" t="inlineStr"/>
      <c r="D312" s="16" t="inlineStr">
        <is>
          <t>Inventory Change Net Vol (BBLs)</t>
        </is>
      </c>
      <c r="E312" s="14" t="inlineStr">
        <is>
          <t>P</t>
        </is>
      </c>
      <c r="F312" s="8">
        <f>P167+P168+P169+P170</f>
        <v/>
      </c>
      <c r="G312" s="9" t="inlineStr">
        <is>
          <t>SUM</t>
        </is>
      </c>
      <c r="H312" s="16" t="inlineStr"/>
      <c r="I312" s="17" t="inlineStr"/>
    </row>
    <row r="313" ht="28" customHeight="1">
      <c r="A313" s="5" t="n">
        <v>35</v>
      </c>
      <c r="B313" s="6" t="inlineStr">
        <is>
          <t>Acc_RenewDiesel</t>
        </is>
      </c>
      <c r="C313" s="7" t="inlineStr">
        <is>
          <t>Renewable Diesel Consumption</t>
        </is>
      </c>
      <c r="D313" s="7" t="inlineStr">
        <is>
          <t>Opening Net Volume (BBLs)</t>
        </is>
      </c>
      <c r="E313" s="5" t="inlineStr">
        <is>
          <t>E</t>
        </is>
      </c>
      <c r="F313" s="8">
        <f>E173+E174+E175</f>
        <v/>
      </c>
      <c r="G313" s="9" t="inlineStr">
        <is>
          <t>SUM</t>
        </is>
      </c>
      <c r="H313" s="7" t="inlineStr">
        <is>
          <t>TK36, TK37, TK39</t>
        </is>
      </c>
      <c r="I313" s="10" t="n">
        <v>3</v>
      </c>
    </row>
    <row r="314" ht="28" customHeight="1">
      <c r="A314" s="10" t="inlineStr"/>
      <c r="B314" s="11" t="inlineStr"/>
      <c r="C314" s="7" t="inlineStr"/>
      <c r="D314" s="7" t="inlineStr">
        <is>
          <t>Opening Gravity</t>
        </is>
      </c>
      <c r="E314" s="5" t="inlineStr">
        <is>
          <t>F</t>
        </is>
      </c>
      <c r="F314" s="12">
        <f>AVERAGE(F173,F174,F175)</f>
        <v/>
      </c>
      <c r="G314" s="13" t="inlineStr">
        <is>
          <t>AVERAGE</t>
        </is>
      </c>
      <c r="H314" s="7" t="inlineStr"/>
      <c r="I314" s="10" t="inlineStr"/>
    </row>
    <row r="315" ht="28" customHeight="1">
      <c r="A315" s="10" t="inlineStr"/>
      <c r="B315" s="11" t="inlineStr"/>
      <c r="C315" s="7" t="inlineStr"/>
      <c r="D315" s="7" t="inlineStr">
        <is>
          <t>Closing Net Volume (BBLs)</t>
        </is>
      </c>
      <c r="E315" s="5" t="inlineStr">
        <is>
          <t>G</t>
        </is>
      </c>
      <c r="F315" s="8">
        <f>G173+G174+G175</f>
        <v/>
      </c>
      <c r="G315" s="9" t="inlineStr">
        <is>
          <t>SUM</t>
        </is>
      </c>
      <c r="H315" s="7" t="inlineStr"/>
      <c r="I315" s="10" t="inlineStr"/>
    </row>
    <row r="316" ht="28" customHeight="1">
      <c r="A316" s="10" t="inlineStr"/>
      <c r="B316" s="11" t="inlineStr"/>
      <c r="C316" s="7" t="inlineStr"/>
      <c r="D316" s="7" t="inlineStr">
        <is>
          <t>Closing Gross Volume (BBLs)</t>
        </is>
      </c>
      <c r="E316" s="5" t="inlineStr">
        <is>
          <t>H</t>
        </is>
      </c>
      <c r="F316" s="8">
        <f>H173+H174+H175</f>
        <v/>
      </c>
      <c r="G316" s="9" t="inlineStr">
        <is>
          <t>SUM</t>
        </is>
      </c>
      <c r="H316" s="7" t="inlineStr"/>
      <c r="I316" s="10" t="inlineStr"/>
    </row>
    <row r="317" ht="28" customHeight="1">
      <c r="A317" s="10" t="inlineStr"/>
      <c r="B317" s="11" t="inlineStr"/>
      <c r="C317" s="7" t="inlineStr"/>
      <c r="D317" s="7" t="inlineStr">
        <is>
          <t>Gravity (Closing)</t>
        </is>
      </c>
      <c r="E317" s="5" t="inlineStr">
        <is>
          <t>J</t>
        </is>
      </c>
      <c r="F317" s="12">
        <f>AVERAGE(J173,J174,J175)</f>
        <v/>
      </c>
      <c r="G317" s="13" t="inlineStr">
        <is>
          <t>AVERAGE</t>
        </is>
      </c>
      <c r="H317" s="7" t="inlineStr"/>
      <c r="I317" s="10" t="inlineStr"/>
    </row>
    <row r="318" ht="28" customHeight="1">
      <c r="A318" s="10" t="inlineStr"/>
      <c r="B318" s="11" t="inlineStr"/>
      <c r="C318" s="7" t="inlineStr"/>
      <c r="D318" s="7" t="inlineStr">
        <is>
          <t>Total Water (BBLs)</t>
        </is>
      </c>
      <c r="E318" s="5" t="inlineStr">
        <is>
          <t>L</t>
        </is>
      </c>
      <c r="F318" s="8">
        <f>L173+L174+L175</f>
        <v/>
      </c>
      <c r="G318" s="9" t="inlineStr">
        <is>
          <t>SUM</t>
        </is>
      </c>
      <c r="H318" s="7" t="inlineStr"/>
      <c r="I318" s="10" t="inlineStr"/>
    </row>
    <row r="319" ht="28" customHeight="1">
      <c r="A319" s="10" t="inlineStr"/>
      <c r="B319" s="11" t="inlineStr"/>
      <c r="C319" s="7" t="inlineStr"/>
      <c r="D319" s="7" t="inlineStr">
        <is>
          <t>Volume of Available Product (BBLs)</t>
        </is>
      </c>
      <c r="E319" s="5" t="inlineStr">
        <is>
          <t>N</t>
        </is>
      </c>
      <c r="F319" s="8">
        <f>N173+N174+N175</f>
        <v/>
      </c>
      <c r="G319" s="9" t="inlineStr">
        <is>
          <t>SUM</t>
        </is>
      </c>
      <c r="H319" s="7" t="inlineStr"/>
      <c r="I319" s="10" t="inlineStr"/>
    </row>
    <row r="320" ht="28" customHeight="1">
      <c r="A320" s="10" t="inlineStr"/>
      <c r="B320" s="11" t="inlineStr"/>
      <c r="C320" s="7" t="inlineStr"/>
      <c r="D320" s="7" t="inlineStr">
        <is>
          <t>Remaining Capacity (BBLs)</t>
        </is>
      </c>
      <c r="E320" s="5" t="inlineStr">
        <is>
          <t>O</t>
        </is>
      </c>
      <c r="F320" s="8">
        <f>O173+O174+O175</f>
        <v/>
      </c>
      <c r="G320" s="9" t="inlineStr">
        <is>
          <t>SUM</t>
        </is>
      </c>
      <c r="H320" s="7" t="inlineStr"/>
      <c r="I320" s="10" t="inlineStr"/>
    </row>
    <row r="321" ht="28" customHeight="1">
      <c r="A321" s="10" t="inlineStr"/>
      <c r="B321" s="11" t="inlineStr"/>
      <c r="C321" s="7" t="inlineStr"/>
      <c r="D321" s="7" t="inlineStr">
        <is>
          <t>Inventory Change Net Vol (BBLs)</t>
        </is>
      </c>
      <c r="E321" s="5" t="inlineStr">
        <is>
          <t>P</t>
        </is>
      </c>
      <c r="F321" s="8">
        <f>P173+P174+P175</f>
        <v/>
      </c>
      <c r="G321" s="9" t="inlineStr">
        <is>
          <t>SUM</t>
        </is>
      </c>
      <c r="H321" s="7" t="inlineStr"/>
      <c r="I321" s="10" t="inlineStr"/>
    </row>
    <row r="322" ht="28" customHeight="1">
      <c r="A322" s="14" t="n">
        <v>36</v>
      </c>
      <c r="B322" s="15" t="inlineStr">
        <is>
          <t>Acc_RenewNaph</t>
        </is>
      </c>
      <c r="C322" s="16" t="inlineStr">
        <is>
          <t>Renewable Naphtha Consumption</t>
        </is>
      </c>
      <c r="D322" s="16" t="inlineStr">
        <is>
          <t>Opening Net Volume (BBLs)</t>
        </is>
      </c>
      <c r="E322" s="14" t="inlineStr">
        <is>
          <t>E</t>
        </is>
      </c>
      <c r="F322" s="8">
        <f>E178+E179</f>
        <v/>
      </c>
      <c r="G322" s="9" t="inlineStr">
        <is>
          <t>SUM</t>
        </is>
      </c>
      <c r="H322" s="16" t="inlineStr">
        <is>
          <t>TK27, TK28</t>
        </is>
      </c>
      <c r="I322" s="17" t="n">
        <v>2</v>
      </c>
    </row>
    <row r="323" ht="28" customHeight="1">
      <c r="A323" s="17" t="inlineStr"/>
      <c r="B323" s="18" t="inlineStr"/>
      <c r="C323" s="16" t="inlineStr"/>
      <c r="D323" s="16" t="inlineStr">
        <is>
          <t>Opening Gravity</t>
        </is>
      </c>
      <c r="E323" s="14" t="inlineStr">
        <is>
          <t>F</t>
        </is>
      </c>
      <c r="F323" s="12">
        <f>AVERAGE(F178,F179)</f>
        <v/>
      </c>
      <c r="G323" s="13" t="inlineStr">
        <is>
          <t>AVERAGE</t>
        </is>
      </c>
      <c r="H323" s="16" t="inlineStr"/>
      <c r="I323" s="17" t="inlineStr"/>
    </row>
    <row r="324" ht="28" customHeight="1">
      <c r="A324" s="17" t="inlineStr"/>
      <c r="B324" s="18" t="inlineStr"/>
      <c r="C324" s="16" t="inlineStr"/>
      <c r="D324" s="16" t="inlineStr">
        <is>
          <t>Closing Net Volume (BBLs)</t>
        </is>
      </c>
      <c r="E324" s="14" t="inlineStr">
        <is>
          <t>G</t>
        </is>
      </c>
      <c r="F324" s="8">
        <f>G178+G179</f>
        <v/>
      </c>
      <c r="G324" s="9" t="inlineStr">
        <is>
          <t>SUM</t>
        </is>
      </c>
      <c r="H324" s="16" t="inlineStr"/>
      <c r="I324" s="17" t="inlineStr"/>
    </row>
    <row r="325" ht="28" customHeight="1">
      <c r="A325" s="17" t="inlineStr"/>
      <c r="B325" s="18" t="inlineStr"/>
      <c r="C325" s="16" t="inlineStr"/>
      <c r="D325" s="16" t="inlineStr">
        <is>
          <t>Closing Gross Volume (BBLs)</t>
        </is>
      </c>
      <c r="E325" s="14" t="inlineStr">
        <is>
          <t>H</t>
        </is>
      </c>
      <c r="F325" s="8">
        <f>H178+H179</f>
        <v/>
      </c>
      <c r="G325" s="9" t="inlineStr">
        <is>
          <t>SUM</t>
        </is>
      </c>
      <c r="H325" s="16" t="inlineStr"/>
      <c r="I325" s="17" t="inlineStr"/>
    </row>
    <row r="326" ht="28" customHeight="1">
      <c r="A326" s="17" t="inlineStr"/>
      <c r="B326" s="18" t="inlineStr"/>
      <c r="C326" s="16" t="inlineStr"/>
      <c r="D326" s="16" t="inlineStr">
        <is>
          <t>Gravity (Closing)</t>
        </is>
      </c>
      <c r="E326" s="14" t="inlineStr">
        <is>
          <t>J</t>
        </is>
      </c>
      <c r="F326" s="12">
        <f>AVERAGE(J178,J179)</f>
        <v/>
      </c>
      <c r="G326" s="13" t="inlineStr">
        <is>
          <t>AVERAGE</t>
        </is>
      </c>
      <c r="H326" s="16" t="inlineStr"/>
      <c r="I326" s="17" t="inlineStr"/>
    </row>
    <row r="327" ht="28" customHeight="1">
      <c r="A327" s="17" t="inlineStr"/>
      <c r="B327" s="18" t="inlineStr"/>
      <c r="C327" s="16" t="inlineStr"/>
      <c r="D327" s="16" t="inlineStr">
        <is>
          <t>Total Water (BBLs)</t>
        </is>
      </c>
      <c r="E327" s="14" t="inlineStr">
        <is>
          <t>L</t>
        </is>
      </c>
      <c r="F327" s="8">
        <f>L178+L179</f>
        <v/>
      </c>
      <c r="G327" s="9" t="inlineStr">
        <is>
          <t>SUM</t>
        </is>
      </c>
      <c r="H327" s="16" t="inlineStr"/>
      <c r="I327" s="17" t="inlineStr"/>
    </row>
    <row r="328" ht="28" customHeight="1">
      <c r="A328" s="17" t="inlineStr"/>
      <c r="B328" s="18" t="inlineStr"/>
      <c r="C328" s="16" t="inlineStr"/>
      <c r="D328" s="16" t="inlineStr">
        <is>
          <t>Volume of Available Product (BBLs)</t>
        </is>
      </c>
      <c r="E328" s="14" t="inlineStr">
        <is>
          <t>N</t>
        </is>
      </c>
      <c r="F328" s="8">
        <f>N178+N179</f>
        <v/>
      </c>
      <c r="G328" s="9" t="inlineStr">
        <is>
          <t>SUM</t>
        </is>
      </c>
      <c r="H328" s="16" t="inlineStr"/>
      <c r="I328" s="17" t="inlineStr"/>
    </row>
    <row r="329" ht="28" customHeight="1">
      <c r="A329" s="17" t="inlineStr"/>
      <c r="B329" s="18" t="inlineStr"/>
      <c r="C329" s="16" t="inlineStr"/>
      <c r="D329" s="16" t="inlineStr">
        <is>
          <t>Remaining Capacity (BBLs)</t>
        </is>
      </c>
      <c r="E329" s="14" t="inlineStr">
        <is>
          <t>O</t>
        </is>
      </c>
      <c r="F329" s="8">
        <f>O178+O179</f>
        <v/>
      </c>
      <c r="G329" s="9" t="inlineStr">
        <is>
          <t>SUM</t>
        </is>
      </c>
      <c r="H329" s="16" t="inlineStr"/>
      <c r="I329" s="17" t="inlineStr"/>
    </row>
    <row r="330" ht="28" customHeight="1">
      <c r="A330" s="17" t="inlineStr"/>
      <c r="B330" s="18" t="inlineStr"/>
      <c r="C330" s="16" t="inlineStr"/>
      <c r="D330" s="16" t="inlineStr">
        <is>
          <t>Inventory Change Net Vol (BBLs)</t>
        </is>
      </c>
      <c r="E330" s="14" t="inlineStr">
        <is>
          <t>P</t>
        </is>
      </c>
      <c r="F330" s="8">
        <f>P178+P179</f>
        <v/>
      </c>
      <c r="G330" s="9" t="inlineStr">
        <is>
          <t>SUM</t>
        </is>
      </c>
      <c r="H330" s="16" t="inlineStr"/>
      <c r="I330" s="17" t="inlineStr"/>
    </row>
    <row r="331" ht="28" customHeight="1">
      <c r="A331" s="5" t="n">
        <v>37</v>
      </c>
      <c r="B331" s="6" t="inlineStr">
        <is>
          <t>Acc_SlopOil</t>
        </is>
      </c>
      <c r="C331" s="7" t="inlineStr">
        <is>
          <t>Slop Oil</t>
        </is>
      </c>
      <c r="D331" s="7" t="inlineStr">
        <is>
          <t>Opening Net Volume (BBLs)</t>
        </is>
      </c>
      <c r="E331" s="5" t="inlineStr">
        <is>
          <t>E</t>
        </is>
      </c>
      <c r="F331" s="8">
        <f>E182+E183+E184+E185+E186+E187+E188+E189+E190+E191+E192+E193+E194+E195+E196+E197+E198</f>
        <v/>
      </c>
      <c r="G331" s="9" t="inlineStr">
        <is>
          <t>SUM</t>
        </is>
      </c>
      <c r="H331" s="7" t="inlineStr">
        <is>
          <t>TK1, TK101, TK102, TK103, TK12, TK154, TK164, TK188, TK189, TK190, TK194, TK284, TK426, TK614, TK700, TK777, TK778</t>
        </is>
      </c>
      <c r="I331" s="10" t="n">
        <v>17</v>
      </c>
    </row>
    <row r="332" ht="28" customHeight="1">
      <c r="A332" s="10" t="inlineStr"/>
      <c r="B332" s="11" t="inlineStr"/>
      <c r="C332" s="7" t="inlineStr"/>
      <c r="D332" s="7" t="inlineStr">
        <is>
          <t>Opening Gravity</t>
        </is>
      </c>
      <c r="E332" s="5" t="inlineStr">
        <is>
          <t>F</t>
        </is>
      </c>
      <c r="F332" s="12">
        <f>AVERAGE(F182,F183,F184,F185,F186,F187,F188,F189,F190,F191,F192,F193,F194,F195,F196,F197,F198)</f>
        <v/>
      </c>
      <c r="G332" s="13" t="inlineStr">
        <is>
          <t>AVERAGE</t>
        </is>
      </c>
      <c r="H332" s="7" t="inlineStr"/>
      <c r="I332" s="10" t="inlineStr"/>
    </row>
    <row r="333" ht="28" customHeight="1">
      <c r="A333" s="10" t="inlineStr"/>
      <c r="B333" s="11" t="inlineStr"/>
      <c r="C333" s="7" t="inlineStr"/>
      <c r="D333" s="7" t="inlineStr">
        <is>
          <t>Closing Net Volume (BBLs)</t>
        </is>
      </c>
      <c r="E333" s="5" t="inlineStr">
        <is>
          <t>G</t>
        </is>
      </c>
      <c r="F333" s="8">
        <f>G182+G183+G184+G185+G186+G187+G188+G189+G190+G191+G192+G193+G194+G195+G196+G197+G198</f>
        <v/>
      </c>
      <c r="G333" s="9" t="inlineStr">
        <is>
          <t>SUM</t>
        </is>
      </c>
      <c r="H333" s="7" t="inlineStr"/>
      <c r="I333" s="10" t="inlineStr"/>
    </row>
    <row r="334" ht="28" customHeight="1">
      <c r="A334" s="10" t="inlineStr"/>
      <c r="B334" s="11" t="inlineStr"/>
      <c r="C334" s="7" t="inlineStr"/>
      <c r="D334" s="7" t="inlineStr">
        <is>
          <t>Closing Gross Volume (BBLs)</t>
        </is>
      </c>
      <c r="E334" s="5" t="inlineStr">
        <is>
          <t>H</t>
        </is>
      </c>
      <c r="F334" s="8">
        <f>H182+H183+H184+H185+H186+H187+H188+H189+H190+H191+H192+H193+H194+H195+H196+H197+H198</f>
        <v/>
      </c>
      <c r="G334" s="9" t="inlineStr">
        <is>
          <t>SUM</t>
        </is>
      </c>
      <c r="H334" s="7" t="inlineStr"/>
      <c r="I334" s="10" t="inlineStr"/>
    </row>
    <row r="335" ht="28" customHeight="1">
      <c r="A335" s="10" t="inlineStr"/>
      <c r="B335" s="11" t="inlineStr"/>
      <c r="C335" s="7" t="inlineStr"/>
      <c r="D335" s="7" t="inlineStr">
        <is>
          <t>Gravity (Closing)</t>
        </is>
      </c>
      <c r="E335" s="5" t="inlineStr">
        <is>
          <t>J</t>
        </is>
      </c>
      <c r="F335" s="12">
        <f>AVERAGE(J182,J183,J184,J185,J186,J187,J188,J189,J190,J191,J192,J193,J194,J195,J196,J197,J198)</f>
        <v/>
      </c>
      <c r="G335" s="13" t="inlineStr">
        <is>
          <t>AVERAGE</t>
        </is>
      </c>
      <c r="H335" s="7" t="inlineStr"/>
      <c r="I335" s="10" t="inlineStr"/>
    </row>
    <row r="336" ht="28" customHeight="1">
      <c r="A336" s="10" t="inlineStr"/>
      <c r="B336" s="11" t="inlineStr"/>
      <c r="C336" s="7" t="inlineStr"/>
      <c r="D336" s="7" t="inlineStr">
        <is>
          <t>Total Water (BBLs)</t>
        </is>
      </c>
      <c r="E336" s="5" t="inlineStr">
        <is>
          <t>L</t>
        </is>
      </c>
      <c r="F336" s="8">
        <f>L182+L183+L184+L185+L186+L187+L188+L189+L190+L191+L192+L193+L194+L195+L196+L197+L198</f>
        <v/>
      </c>
      <c r="G336" s="9" t="inlineStr">
        <is>
          <t>SUM</t>
        </is>
      </c>
      <c r="H336" s="7" t="inlineStr"/>
      <c r="I336" s="10" t="inlineStr"/>
    </row>
    <row r="337" ht="28" customHeight="1">
      <c r="A337" s="10" t="inlineStr"/>
      <c r="B337" s="11" t="inlineStr"/>
      <c r="C337" s="7" t="inlineStr"/>
      <c r="D337" s="7" t="inlineStr">
        <is>
          <t>Volume of Available Product (BBLs)</t>
        </is>
      </c>
      <c r="E337" s="5" t="inlineStr">
        <is>
          <t>N</t>
        </is>
      </c>
      <c r="F337" s="8">
        <f>N182+N183+N184+N185+N186+N187+N188+N189+N190+N191+N192+N193+N194+N195+N196+N197+N198</f>
        <v/>
      </c>
      <c r="G337" s="9" t="inlineStr">
        <is>
          <t>SUM</t>
        </is>
      </c>
      <c r="H337" s="7" t="inlineStr"/>
      <c r="I337" s="10" t="inlineStr"/>
    </row>
    <row r="338" ht="28" customHeight="1">
      <c r="A338" s="10" t="inlineStr"/>
      <c r="B338" s="11" t="inlineStr"/>
      <c r="C338" s="7" t="inlineStr"/>
      <c r="D338" s="7" t="inlineStr">
        <is>
          <t>Remaining Capacity (BBLs)</t>
        </is>
      </c>
      <c r="E338" s="5" t="inlineStr">
        <is>
          <t>O</t>
        </is>
      </c>
      <c r="F338" s="8">
        <f>O182+O183+O184+O185+O186+O187+O188+O189+O190+O191+O192+O193+O194+O195+O196+O197+O198</f>
        <v/>
      </c>
      <c r="G338" s="9" t="inlineStr">
        <is>
          <t>SUM</t>
        </is>
      </c>
      <c r="H338" s="7" t="inlineStr"/>
      <c r="I338" s="10" t="inlineStr"/>
    </row>
    <row r="339" ht="28" customHeight="1">
      <c r="A339" s="10" t="inlineStr"/>
      <c r="B339" s="11" t="inlineStr"/>
      <c r="C339" s="7" t="inlineStr"/>
      <c r="D339" s="7" t="inlineStr">
        <is>
          <t>Inventory Change Net Vol (BBLs)</t>
        </is>
      </c>
      <c r="E339" s="5" t="inlineStr">
        <is>
          <t>P</t>
        </is>
      </c>
      <c r="F339" s="8">
        <f>P182+P183+P184+P185+P186+P187+P188+P189+P190+P191+P192+P193+P194+P195+P196+P197+P198</f>
        <v/>
      </c>
      <c r="G339" s="9" t="inlineStr">
        <is>
          <t>SUM</t>
        </is>
      </c>
      <c r="H339" s="7" t="inlineStr"/>
      <c r="I339" s="10" t="inlineStr"/>
    </row>
    <row r="340" ht="28" customHeight="1">
      <c r="A340" s="14" t="n">
        <v>38</v>
      </c>
      <c r="B340" s="15" t="inlineStr">
        <is>
          <t>Acc_SourNaph</t>
        </is>
      </c>
      <c r="C340" s="16" t="inlineStr">
        <is>
          <t>Sour Naphtha</t>
        </is>
      </c>
      <c r="D340" s="16" t="inlineStr">
        <is>
          <t>Opening Net Volume (BBLs)</t>
        </is>
      </c>
      <c r="E340" s="14" t="inlineStr">
        <is>
          <t>E</t>
        </is>
      </c>
      <c r="F340" s="8">
        <f>E201+E202+E203+E204</f>
        <v/>
      </c>
      <c r="G340" s="9" t="inlineStr">
        <is>
          <t>SUM</t>
        </is>
      </c>
      <c r="H340" s="16" t="inlineStr">
        <is>
          <t>TK681, TK90, TK91, TK969</t>
        </is>
      </c>
      <c r="I340" s="17" t="n">
        <v>4</v>
      </c>
    </row>
    <row r="341" ht="28" customHeight="1">
      <c r="A341" s="17" t="inlineStr"/>
      <c r="B341" s="18" t="inlineStr"/>
      <c r="C341" s="16" t="inlineStr"/>
      <c r="D341" s="16" t="inlineStr">
        <is>
          <t>Opening Gravity</t>
        </is>
      </c>
      <c r="E341" s="14" t="inlineStr">
        <is>
          <t>F</t>
        </is>
      </c>
      <c r="F341" s="12">
        <f>AVERAGE(F201,F202,F203,F204)</f>
        <v/>
      </c>
      <c r="G341" s="13" t="inlineStr">
        <is>
          <t>AVERAGE</t>
        </is>
      </c>
      <c r="H341" s="16" t="inlineStr"/>
      <c r="I341" s="17" t="inlineStr"/>
    </row>
    <row r="342" ht="28" customHeight="1">
      <c r="A342" s="17" t="inlineStr"/>
      <c r="B342" s="18" t="inlineStr"/>
      <c r="C342" s="16" t="inlineStr"/>
      <c r="D342" s="16" t="inlineStr">
        <is>
          <t>Closing Net Volume (BBLs)</t>
        </is>
      </c>
      <c r="E342" s="14" t="inlineStr">
        <is>
          <t>G</t>
        </is>
      </c>
      <c r="F342" s="8">
        <f>G201+G202+G203+G204</f>
        <v/>
      </c>
      <c r="G342" s="9" t="inlineStr">
        <is>
          <t>SUM</t>
        </is>
      </c>
      <c r="H342" s="16" t="inlineStr"/>
      <c r="I342" s="17" t="inlineStr"/>
    </row>
    <row r="343" ht="28" customHeight="1">
      <c r="A343" s="17" t="inlineStr"/>
      <c r="B343" s="18" t="inlineStr"/>
      <c r="C343" s="16" t="inlineStr"/>
      <c r="D343" s="16" t="inlineStr">
        <is>
          <t>Closing Gross Volume (BBLs)</t>
        </is>
      </c>
      <c r="E343" s="14" t="inlineStr">
        <is>
          <t>H</t>
        </is>
      </c>
      <c r="F343" s="8">
        <f>H201+H202+H203+H204</f>
        <v/>
      </c>
      <c r="G343" s="9" t="inlineStr">
        <is>
          <t>SUM</t>
        </is>
      </c>
      <c r="H343" s="16" t="inlineStr"/>
      <c r="I343" s="17" t="inlineStr"/>
    </row>
    <row r="344" ht="28" customHeight="1">
      <c r="A344" s="17" t="inlineStr"/>
      <c r="B344" s="18" t="inlineStr"/>
      <c r="C344" s="16" t="inlineStr"/>
      <c r="D344" s="16" t="inlineStr">
        <is>
          <t>Gravity (Closing)</t>
        </is>
      </c>
      <c r="E344" s="14" t="inlineStr">
        <is>
          <t>J</t>
        </is>
      </c>
      <c r="F344" s="12">
        <f>AVERAGE(J201,J202,J203,J204)</f>
        <v/>
      </c>
      <c r="G344" s="13" t="inlineStr">
        <is>
          <t>AVERAGE</t>
        </is>
      </c>
      <c r="H344" s="16" t="inlineStr"/>
      <c r="I344" s="17" t="inlineStr"/>
    </row>
    <row r="345" ht="28" customHeight="1">
      <c r="A345" s="17" t="inlineStr"/>
      <c r="B345" s="18" t="inlineStr"/>
      <c r="C345" s="16" t="inlineStr"/>
      <c r="D345" s="16" t="inlineStr">
        <is>
          <t>Total Water (BBLs)</t>
        </is>
      </c>
      <c r="E345" s="14" t="inlineStr">
        <is>
          <t>L</t>
        </is>
      </c>
      <c r="F345" s="8">
        <f>L201+L202+L203+L204</f>
        <v/>
      </c>
      <c r="G345" s="9" t="inlineStr">
        <is>
          <t>SUM</t>
        </is>
      </c>
      <c r="H345" s="16" t="inlineStr"/>
      <c r="I345" s="17" t="inlineStr"/>
    </row>
    <row r="346" ht="28" customHeight="1">
      <c r="A346" s="17" t="inlineStr"/>
      <c r="B346" s="18" t="inlineStr"/>
      <c r="C346" s="16" t="inlineStr"/>
      <c r="D346" s="16" t="inlineStr">
        <is>
          <t>Volume of Available Product (BBLs)</t>
        </is>
      </c>
      <c r="E346" s="14" t="inlineStr">
        <is>
          <t>N</t>
        </is>
      </c>
      <c r="F346" s="8">
        <f>N201+N202+N203+N204</f>
        <v/>
      </c>
      <c r="G346" s="9" t="inlineStr">
        <is>
          <t>SUM</t>
        </is>
      </c>
      <c r="H346" s="16" t="inlineStr"/>
      <c r="I346" s="17" t="inlineStr"/>
    </row>
    <row r="347" ht="28" customHeight="1">
      <c r="A347" s="17" t="inlineStr"/>
      <c r="B347" s="18" t="inlineStr"/>
      <c r="C347" s="16" t="inlineStr"/>
      <c r="D347" s="16" t="inlineStr">
        <is>
          <t>Remaining Capacity (BBLs)</t>
        </is>
      </c>
      <c r="E347" s="14" t="inlineStr">
        <is>
          <t>O</t>
        </is>
      </c>
      <c r="F347" s="8">
        <f>O201+O202+O203+O204</f>
        <v/>
      </c>
      <c r="G347" s="9" t="inlineStr">
        <is>
          <t>SUM</t>
        </is>
      </c>
      <c r="H347" s="16" t="inlineStr"/>
      <c r="I347" s="17" t="inlineStr"/>
    </row>
    <row r="348" ht="28" customHeight="1">
      <c r="A348" s="17" t="inlineStr"/>
      <c r="B348" s="18" t="inlineStr"/>
      <c r="C348" s="16" t="inlineStr"/>
      <c r="D348" s="16" t="inlineStr">
        <is>
          <t>Inventory Change Net Vol (BBLs)</t>
        </is>
      </c>
      <c r="E348" s="14" t="inlineStr">
        <is>
          <t>P</t>
        </is>
      </c>
      <c r="F348" s="8">
        <f>P201+P202+P203+P204</f>
        <v/>
      </c>
      <c r="G348" s="9" t="inlineStr">
        <is>
          <t>SUM</t>
        </is>
      </c>
      <c r="H348" s="16" t="inlineStr"/>
      <c r="I348" s="17" t="inlineStr"/>
    </row>
    <row r="349" ht="28" customHeight="1">
      <c r="A349" s="5" t="n">
        <v>39</v>
      </c>
      <c r="B349" s="6" t="inlineStr">
        <is>
          <t>Acc_SRNaphtha</t>
        </is>
      </c>
      <c r="C349" s="7" t="inlineStr">
        <is>
          <t>Straight Run Naphtha</t>
        </is>
      </c>
      <c r="D349" s="7" t="inlineStr">
        <is>
          <t>Opening Net Volume (BBLs)</t>
        </is>
      </c>
      <c r="E349" s="5" t="inlineStr">
        <is>
          <t>E</t>
        </is>
      </c>
      <c r="F349" s="8">
        <f>E207+E208+E209</f>
        <v/>
      </c>
      <c r="G349" s="9" t="inlineStr">
        <is>
          <t>SUM</t>
        </is>
      </c>
      <c r="H349" s="7" t="inlineStr">
        <is>
          <t>TK74, TK75, TK955</t>
        </is>
      </c>
      <c r="I349" s="10" t="n">
        <v>3</v>
      </c>
    </row>
    <row r="350" ht="28" customHeight="1">
      <c r="A350" s="10" t="inlineStr"/>
      <c r="B350" s="11" t="inlineStr"/>
      <c r="C350" s="7" t="inlineStr"/>
      <c r="D350" s="7" t="inlineStr">
        <is>
          <t>Opening Gravity</t>
        </is>
      </c>
      <c r="E350" s="5" t="inlineStr">
        <is>
          <t>F</t>
        </is>
      </c>
      <c r="F350" s="12">
        <f>AVERAGE(F207,F208,F209)</f>
        <v/>
      </c>
      <c r="G350" s="13" t="inlineStr">
        <is>
          <t>AVERAGE</t>
        </is>
      </c>
      <c r="H350" s="7" t="inlineStr"/>
      <c r="I350" s="10" t="inlineStr"/>
    </row>
    <row r="351" ht="28" customHeight="1">
      <c r="A351" s="10" t="inlineStr"/>
      <c r="B351" s="11" t="inlineStr"/>
      <c r="C351" s="7" t="inlineStr"/>
      <c r="D351" s="7" t="inlineStr">
        <is>
          <t>Closing Net Volume (BBLs)</t>
        </is>
      </c>
      <c r="E351" s="5" t="inlineStr">
        <is>
          <t>G</t>
        </is>
      </c>
      <c r="F351" s="8">
        <f>G207+G208+G209</f>
        <v/>
      </c>
      <c r="G351" s="9" t="inlineStr">
        <is>
          <t>SUM</t>
        </is>
      </c>
      <c r="H351" s="7" t="inlineStr"/>
      <c r="I351" s="10" t="inlineStr"/>
    </row>
    <row r="352" ht="28" customHeight="1">
      <c r="A352" s="10" t="inlineStr"/>
      <c r="B352" s="11" t="inlineStr"/>
      <c r="C352" s="7" t="inlineStr"/>
      <c r="D352" s="7" t="inlineStr">
        <is>
          <t>Closing Gross Volume (BBLs)</t>
        </is>
      </c>
      <c r="E352" s="5" t="inlineStr">
        <is>
          <t>H</t>
        </is>
      </c>
      <c r="F352" s="8">
        <f>H207+H208+H209</f>
        <v/>
      </c>
      <c r="G352" s="9" t="inlineStr">
        <is>
          <t>SUM</t>
        </is>
      </c>
      <c r="H352" s="7" t="inlineStr"/>
      <c r="I352" s="10" t="inlineStr"/>
    </row>
    <row r="353" ht="28" customHeight="1">
      <c r="A353" s="10" t="inlineStr"/>
      <c r="B353" s="11" t="inlineStr"/>
      <c r="C353" s="7" t="inlineStr"/>
      <c r="D353" s="7" t="inlineStr">
        <is>
          <t>Gravity (Closing)</t>
        </is>
      </c>
      <c r="E353" s="5" t="inlineStr">
        <is>
          <t>J</t>
        </is>
      </c>
      <c r="F353" s="12">
        <f>AVERAGE(J207,J208,J209)</f>
        <v/>
      </c>
      <c r="G353" s="13" t="inlineStr">
        <is>
          <t>AVERAGE</t>
        </is>
      </c>
      <c r="H353" s="7" t="inlineStr"/>
      <c r="I353" s="10" t="inlineStr"/>
    </row>
    <row r="354" ht="28" customHeight="1">
      <c r="A354" s="10" t="inlineStr"/>
      <c r="B354" s="11" t="inlineStr"/>
      <c r="C354" s="7" t="inlineStr"/>
      <c r="D354" s="7" t="inlineStr">
        <is>
          <t>Total Water (BBLs)</t>
        </is>
      </c>
      <c r="E354" s="5" t="inlineStr">
        <is>
          <t>L</t>
        </is>
      </c>
      <c r="F354" s="8">
        <f>L207+L208+L209</f>
        <v/>
      </c>
      <c r="G354" s="9" t="inlineStr">
        <is>
          <t>SUM</t>
        </is>
      </c>
      <c r="H354" s="7" t="inlineStr"/>
      <c r="I354" s="10" t="inlineStr"/>
    </row>
    <row r="355" ht="28" customHeight="1">
      <c r="A355" s="10" t="inlineStr"/>
      <c r="B355" s="11" t="inlineStr"/>
      <c r="C355" s="7" t="inlineStr"/>
      <c r="D355" s="7" t="inlineStr">
        <is>
          <t>Volume of Available Product (BBLs)</t>
        </is>
      </c>
      <c r="E355" s="5" t="inlineStr">
        <is>
          <t>N</t>
        </is>
      </c>
      <c r="F355" s="8">
        <f>N207+N208+N209</f>
        <v/>
      </c>
      <c r="G355" s="9" t="inlineStr">
        <is>
          <t>SUM</t>
        </is>
      </c>
      <c r="H355" s="7" t="inlineStr"/>
      <c r="I355" s="10" t="inlineStr"/>
    </row>
    <row r="356" ht="28" customHeight="1">
      <c r="A356" s="10" t="inlineStr"/>
      <c r="B356" s="11" t="inlineStr"/>
      <c r="C356" s="7" t="inlineStr"/>
      <c r="D356" s="7" t="inlineStr">
        <is>
          <t>Remaining Capacity (BBLs)</t>
        </is>
      </c>
      <c r="E356" s="5" t="inlineStr">
        <is>
          <t>O</t>
        </is>
      </c>
      <c r="F356" s="8">
        <f>O207+O208+O209</f>
        <v/>
      </c>
      <c r="G356" s="9" t="inlineStr">
        <is>
          <t>SUM</t>
        </is>
      </c>
      <c r="H356" s="7" t="inlineStr"/>
      <c r="I356" s="10" t="inlineStr"/>
    </row>
    <row r="357" ht="28" customHeight="1">
      <c r="A357" s="10" t="inlineStr"/>
      <c r="B357" s="11" t="inlineStr"/>
      <c r="C357" s="7" t="inlineStr"/>
      <c r="D357" s="7" t="inlineStr">
        <is>
          <t>Inventory Change Net Vol (BBLs)</t>
        </is>
      </c>
      <c r="E357" s="5" t="inlineStr">
        <is>
          <t>P</t>
        </is>
      </c>
      <c r="F357" s="8">
        <f>P207+P208+P209</f>
        <v/>
      </c>
      <c r="G357" s="9" t="inlineStr">
        <is>
          <t>SUM</t>
        </is>
      </c>
      <c r="H357" s="7" t="inlineStr"/>
      <c r="I357" s="10" t="inlineStr"/>
    </row>
    <row r="358" ht="28" customHeight="1">
      <c r="A358" s="14" t="n">
        <v>40</v>
      </c>
      <c r="B358" s="15" t="inlineStr">
        <is>
          <t>Acc_SweetNaph</t>
        </is>
      </c>
      <c r="C358" s="16" t="inlineStr">
        <is>
          <t>Sweet Naphtha</t>
        </is>
      </c>
      <c r="D358" s="16" t="inlineStr">
        <is>
          <t>Opening Net Volume (BBLs)</t>
        </is>
      </c>
      <c r="E358" s="14" t="inlineStr">
        <is>
          <t>E</t>
        </is>
      </c>
      <c r="F358" s="8">
        <f>E212</f>
        <v/>
      </c>
      <c r="G358" s="9" t="inlineStr">
        <is>
          <t>SUM</t>
        </is>
      </c>
      <c r="H358" s="16" t="inlineStr">
        <is>
          <t>TK67</t>
        </is>
      </c>
      <c r="I358" s="17" t="n">
        <v>1</v>
      </c>
    </row>
    <row r="359" ht="28" customHeight="1">
      <c r="A359" s="17" t="inlineStr"/>
      <c r="B359" s="18" t="inlineStr"/>
      <c r="C359" s="16" t="inlineStr"/>
      <c r="D359" s="16" t="inlineStr">
        <is>
          <t>Opening Gravity</t>
        </is>
      </c>
      <c r="E359" s="14" t="inlineStr">
        <is>
          <t>F</t>
        </is>
      </c>
      <c r="F359" s="12">
        <f>AVERAGE(F212)</f>
        <v/>
      </c>
      <c r="G359" s="13" t="inlineStr">
        <is>
          <t>AVERAGE</t>
        </is>
      </c>
      <c r="H359" s="16" t="inlineStr"/>
      <c r="I359" s="17" t="inlineStr"/>
    </row>
    <row r="360" ht="28" customHeight="1">
      <c r="A360" s="17" t="inlineStr"/>
      <c r="B360" s="18" t="inlineStr"/>
      <c r="C360" s="16" t="inlineStr"/>
      <c r="D360" s="16" t="inlineStr">
        <is>
          <t>Closing Net Volume (BBLs)</t>
        </is>
      </c>
      <c r="E360" s="14" t="inlineStr">
        <is>
          <t>G</t>
        </is>
      </c>
      <c r="F360" s="8">
        <f>G212</f>
        <v/>
      </c>
      <c r="G360" s="9" t="inlineStr">
        <is>
          <t>SUM</t>
        </is>
      </c>
      <c r="H360" s="16" t="inlineStr"/>
      <c r="I360" s="17" t="inlineStr"/>
    </row>
    <row r="361" ht="28" customHeight="1">
      <c r="A361" s="17" t="inlineStr"/>
      <c r="B361" s="18" t="inlineStr"/>
      <c r="C361" s="16" t="inlineStr"/>
      <c r="D361" s="16" t="inlineStr">
        <is>
          <t>Closing Gross Volume (BBLs)</t>
        </is>
      </c>
      <c r="E361" s="14" t="inlineStr">
        <is>
          <t>H</t>
        </is>
      </c>
      <c r="F361" s="8">
        <f>H212</f>
        <v/>
      </c>
      <c r="G361" s="9" t="inlineStr">
        <is>
          <t>SUM</t>
        </is>
      </c>
      <c r="H361" s="16" t="inlineStr"/>
      <c r="I361" s="17" t="inlineStr"/>
    </row>
    <row r="362" ht="28" customHeight="1">
      <c r="A362" s="17" t="inlineStr"/>
      <c r="B362" s="18" t="inlineStr"/>
      <c r="C362" s="16" t="inlineStr"/>
      <c r="D362" s="16" t="inlineStr">
        <is>
          <t>Gravity (Closing)</t>
        </is>
      </c>
      <c r="E362" s="14" t="inlineStr">
        <is>
          <t>J</t>
        </is>
      </c>
      <c r="F362" s="12">
        <f>AVERAGE(J212)</f>
        <v/>
      </c>
      <c r="G362" s="13" t="inlineStr">
        <is>
          <t>AVERAGE</t>
        </is>
      </c>
      <c r="H362" s="16" t="inlineStr"/>
      <c r="I362" s="17" t="inlineStr"/>
    </row>
    <row r="363" ht="28" customHeight="1">
      <c r="A363" s="17" t="inlineStr"/>
      <c r="B363" s="18" t="inlineStr"/>
      <c r="C363" s="16" t="inlineStr"/>
      <c r="D363" s="16" t="inlineStr">
        <is>
          <t>Total Water (BBLs)</t>
        </is>
      </c>
      <c r="E363" s="14" t="inlineStr">
        <is>
          <t>L</t>
        </is>
      </c>
      <c r="F363" s="8">
        <f>L212</f>
        <v/>
      </c>
      <c r="G363" s="9" t="inlineStr">
        <is>
          <t>SUM</t>
        </is>
      </c>
      <c r="H363" s="16" t="inlineStr"/>
      <c r="I363" s="17" t="inlineStr"/>
    </row>
    <row r="364" ht="28" customHeight="1">
      <c r="A364" s="17" t="inlineStr"/>
      <c r="B364" s="18" t="inlineStr"/>
      <c r="C364" s="16" t="inlineStr"/>
      <c r="D364" s="16" t="inlineStr">
        <is>
          <t>Volume of Available Product (BBLs)</t>
        </is>
      </c>
      <c r="E364" s="14" t="inlineStr">
        <is>
          <t>N</t>
        </is>
      </c>
      <c r="F364" s="8">
        <f>N212</f>
        <v/>
      </c>
      <c r="G364" s="9" t="inlineStr">
        <is>
          <t>SUM</t>
        </is>
      </c>
      <c r="H364" s="16" t="inlineStr"/>
      <c r="I364" s="17" t="inlineStr"/>
    </row>
    <row r="365" ht="28" customHeight="1">
      <c r="A365" s="17" t="inlineStr"/>
      <c r="B365" s="18" t="inlineStr"/>
      <c r="C365" s="16" t="inlineStr"/>
      <c r="D365" s="16" t="inlineStr">
        <is>
          <t>Remaining Capacity (BBLs)</t>
        </is>
      </c>
      <c r="E365" s="14" t="inlineStr">
        <is>
          <t>O</t>
        </is>
      </c>
      <c r="F365" s="8">
        <f>O212</f>
        <v/>
      </c>
      <c r="G365" s="9" t="inlineStr">
        <is>
          <t>SUM</t>
        </is>
      </c>
      <c r="H365" s="16" t="inlineStr"/>
      <c r="I365" s="17" t="inlineStr"/>
    </row>
    <row r="366" ht="28" customHeight="1">
      <c r="A366" s="17" t="inlineStr"/>
      <c r="B366" s="18" t="inlineStr"/>
      <c r="C366" s="16" t="inlineStr"/>
      <c r="D366" s="16" t="inlineStr">
        <is>
          <t>Inventory Change Net Vol (BBLs)</t>
        </is>
      </c>
      <c r="E366" s="14" t="inlineStr">
        <is>
          <t>P</t>
        </is>
      </c>
      <c r="F366" s="8">
        <f>P212</f>
        <v/>
      </c>
      <c r="G366" s="9" t="inlineStr">
        <is>
          <t>SUM</t>
        </is>
      </c>
      <c r="H366" s="16" t="inlineStr"/>
      <c r="I366" s="17" t="inlineStr"/>
    </row>
    <row r="367" ht="28" customHeight="1">
      <c r="A367" s="5" t="n">
        <v>41</v>
      </c>
      <c r="B367" s="6" t="inlineStr">
        <is>
          <t>Acc_Transmix</t>
        </is>
      </c>
      <c r="C367" s="7" t="inlineStr">
        <is>
          <t>Transmix</t>
        </is>
      </c>
      <c r="D367" s="7" t="inlineStr">
        <is>
          <t>Opening Net Volume (BBLs)</t>
        </is>
      </c>
      <c r="E367" s="5" t="inlineStr">
        <is>
          <t>E</t>
        </is>
      </c>
      <c r="F367" s="8">
        <f>E215+E216+E217+E218</f>
        <v/>
      </c>
      <c r="G367" s="9" t="inlineStr">
        <is>
          <t>SUM</t>
        </is>
      </c>
      <c r="H367" s="7" t="inlineStr">
        <is>
          <t>TK191, TK192, TK29, TK30</t>
        </is>
      </c>
      <c r="I367" s="10" t="n">
        <v>4</v>
      </c>
    </row>
    <row r="368" ht="28" customHeight="1">
      <c r="A368" s="10" t="inlineStr"/>
      <c r="B368" s="11" t="inlineStr"/>
      <c r="C368" s="7" t="inlineStr"/>
      <c r="D368" s="7" t="inlineStr">
        <is>
          <t>Opening Gravity</t>
        </is>
      </c>
      <c r="E368" s="5" t="inlineStr">
        <is>
          <t>F</t>
        </is>
      </c>
      <c r="F368" s="12">
        <f>AVERAGE(F215,F216,F217,F218)</f>
        <v/>
      </c>
      <c r="G368" s="13" t="inlineStr">
        <is>
          <t>AVERAGE</t>
        </is>
      </c>
      <c r="H368" s="7" t="inlineStr"/>
      <c r="I368" s="10" t="inlineStr"/>
    </row>
    <row r="369" ht="28" customHeight="1">
      <c r="A369" s="10" t="inlineStr"/>
      <c r="B369" s="11" t="inlineStr"/>
      <c r="C369" s="7" t="inlineStr"/>
      <c r="D369" s="7" t="inlineStr">
        <is>
          <t>Closing Net Volume (BBLs)</t>
        </is>
      </c>
      <c r="E369" s="5" t="inlineStr">
        <is>
          <t>G</t>
        </is>
      </c>
      <c r="F369" s="8">
        <f>G215+G216+G217+G218</f>
        <v/>
      </c>
      <c r="G369" s="9" t="inlineStr">
        <is>
          <t>SUM</t>
        </is>
      </c>
      <c r="H369" s="7" t="inlineStr"/>
      <c r="I369" s="10" t="inlineStr"/>
    </row>
    <row r="370" ht="28" customHeight="1">
      <c r="A370" s="10" t="inlineStr"/>
      <c r="B370" s="11" t="inlineStr"/>
      <c r="C370" s="7" t="inlineStr"/>
      <c r="D370" s="7" t="inlineStr">
        <is>
          <t>Closing Gross Volume (BBLs)</t>
        </is>
      </c>
      <c r="E370" s="5" t="inlineStr">
        <is>
          <t>H</t>
        </is>
      </c>
      <c r="F370" s="8">
        <f>H215+H216+H217+H218</f>
        <v/>
      </c>
      <c r="G370" s="9" t="inlineStr">
        <is>
          <t>SUM</t>
        </is>
      </c>
      <c r="H370" s="7" t="inlineStr"/>
      <c r="I370" s="10" t="inlineStr"/>
    </row>
    <row r="371" ht="28" customHeight="1">
      <c r="A371" s="10" t="inlineStr"/>
      <c r="B371" s="11" t="inlineStr"/>
      <c r="C371" s="7" t="inlineStr"/>
      <c r="D371" s="7" t="inlineStr">
        <is>
          <t>Gravity (Closing)</t>
        </is>
      </c>
      <c r="E371" s="5" t="inlineStr">
        <is>
          <t>J</t>
        </is>
      </c>
      <c r="F371" s="12">
        <f>AVERAGE(J215,J216,J217,J218)</f>
        <v/>
      </c>
      <c r="G371" s="13" t="inlineStr">
        <is>
          <t>AVERAGE</t>
        </is>
      </c>
      <c r="H371" s="7" t="inlineStr"/>
      <c r="I371" s="10" t="inlineStr"/>
    </row>
    <row r="372" ht="28" customHeight="1">
      <c r="A372" s="10" t="inlineStr"/>
      <c r="B372" s="11" t="inlineStr"/>
      <c r="C372" s="7" t="inlineStr"/>
      <c r="D372" s="7" t="inlineStr">
        <is>
          <t>Total Water (BBLs)</t>
        </is>
      </c>
      <c r="E372" s="5" t="inlineStr">
        <is>
          <t>L</t>
        </is>
      </c>
      <c r="F372" s="8">
        <f>L215+L216+L217+L218</f>
        <v/>
      </c>
      <c r="G372" s="9" t="inlineStr">
        <is>
          <t>SUM</t>
        </is>
      </c>
      <c r="H372" s="7" t="inlineStr"/>
      <c r="I372" s="10" t="inlineStr"/>
    </row>
    <row r="373" ht="28" customHeight="1">
      <c r="A373" s="10" t="inlineStr"/>
      <c r="B373" s="11" t="inlineStr"/>
      <c r="C373" s="7" t="inlineStr"/>
      <c r="D373" s="7" t="inlineStr">
        <is>
          <t>Volume of Available Product (BBLs)</t>
        </is>
      </c>
      <c r="E373" s="5" t="inlineStr">
        <is>
          <t>N</t>
        </is>
      </c>
      <c r="F373" s="8">
        <f>N215+N216+N217+N218</f>
        <v/>
      </c>
      <c r="G373" s="9" t="inlineStr">
        <is>
          <t>SUM</t>
        </is>
      </c>
      <c r="H373" s="7" t="inlineStr"/>
      <c r="I373" s="10" t="inlineStr"/>
    </row>
    <row r="374" ht="28" customHeight="1">
      <c r="A374" s="10" t="inlineStr"/>
      <c r="B374" s="11" t="inlineStr"/>
      <c r="C374" s="7" t="inlineStr"/>
      <c r="D374" s="7" t="inlineStr">
        <is>
          <t>Remaining Capacity (BBLs)</t>
        </is>
      </c>
      <c r="E374" s="5" t="inlineStr">
        <is>
          <t>O</t>
        </is>
      </c>
      <c r="F374" s="8">
        <f>O215+O216+O217+O218</f>
        <v/>
      </c>
      <c r="G374" s="9" t="inlineStr">
        <is>
          <t>SUM</t>
        </is>
      </c>
      <c r="H374" s="7" t="inlineStr"/>
      <c r="I374" s="10" t="inlineStr"/>
    </row>
    <row r="375" ht="28" customHeight="1">
      <c r="A375" s="10" t="inlineStr"/>
      <c r="B375" s="11" t="inlineStr"/>
      <c r="C375" s="7" t="inlineStr"/>
      <c r="D375" s="7" t="inlineStr">
        <is>
          <t>Inventory Change Net Vol (BBLs)</t>
        </is>
      </c>
      <c r="E375" s="5" t="inlineStr">
        <is>
          <t>P</t>
        </is>
      </c>
      <c r="F375" s="8">
        <f>P215+P216+P217+P218</f>
        <v/>
      </c>
      <c r="G375" s="9" t="inlineStr">
        <is>
          <t>SUM</t>
        </is>
      </c>
      <c r="H375" s="7" t="inlineStr"/>
      <c r="I375" s="10" t="inlineStr"/>
    </row>
    <row r="376" ht="28" customHeight="1">
      <c r="A376" s="14" t="n">
        <v>42</v>
      </c>
      <c r="B376" s="15" t="inlineStr">
        <is>
          <t>Acc_ULSD2</t>
        </is>
      </c>
      <c r="C376" s="16" t="inlineStr">
        <is>
          <t>ULSD No 2</t>
        </is>
      </c>
      <c r="D376" s="16" t="inlineStr">
        <is>
          <t>Opening Net Volume (BBLs)</t>
        </is>
      </c>
      <c r="E376" s="14" t="inlineStr">
        <is>
          <t>E</t>
        </is>
      </c>
      <c r="F376" s="8">
        <f>E221</f>
        <v/>
      </c>
      <c r="G376" s="9" t="inlineStr">
        <is>
          <t>SUM</t>
        </is>
      </c>
      <c r="H376" s="16" t="inlineStr">
        <is>
          <t>LF_003</t>
        </is>
      </c>
      <c r="I376" s="17" t="n">
        <v>1</v>
      </c>
    </row>
    <row r="377" ht="28" customHeight="1">
      <c r="A377" s="17" t="inlineStr"/>
      <c r="B377" s="18" t="inlineStr"/>
      <c r="C377" s="16" t="inlineStr"/>
      <c r="D377" s="16" t="inlineStr">
        <is>
          <t>Opening Gravity</t>
        </is>
      </c>
      <c r="E377" s="14" t="inlineStr">
        <is>
          <t>F</t>
        </is>
      </c>
      <c r="F377" s="12">
        <f>AVERAGE(F221)</f>
        <v/>
      </c>
      <c r="G377" s="13" t="inlineStr">
        <is>
          <t>AVERAGE</t>
        </is>
      </c>
      <c r="H377" s="16" t="inlineStr"/>
      <c r="I377" s="17" t="inlineStr"/>
    </row>
    <row r="378" ht="28" customHeight="1">
      <c r="A378" s="17" t="inlineStr"/>
      <c r="B378" s="18" t="inlineStr"/>
      <c r="C378" s="16" t="inlineStr"/>
      <c r="D378" s="16" t="inlineStr">
        <is>
          <t>Closing Net Volume (BBLs)</t>
        </is>
      </c>
      <c r="E378" s="14" t="inlineStr">
        <is>
          <t>G</t>
        </is>
      </c>
      <c r="F378" s="8">
        <f>G221</f>
        <v/>
      </c>
      <c r="G378" s="9" t="inlineStr">
        <is>
          <t>SUM</t>
        </is>
      </c>
      <c r="H378" s="16" t="inlineStr"/>
      <c r="I378" s="17" t="inlineStr"/>
    </row>
    <row r="379" ht="28" customHeight="1">
      <c r="A379" s="17" t="inlineStr"/>
      <c r="B379" s="18" t="inlineStr"/>
      <c r="C379" s="16" t="inlineStr"/>
      <c r="D379" s="16" t="inlineStr">
        <is>
          <t>Closing Gross Volume (BBLs)</t>
        </is>
      </c>
      <c r="E379" s="14" t="inlineStr">
        <is>
          <t>H</t>
        </is>
      </c>
      <c r="F379" s="8">
        <f>H221</f>
        <v/>
      </c>
      <c r="G379" s="9" t="inlineStr">
        <is>
          <t>SUM</t>
        </is>
      </c>
      <c r="H379" s="16" t="inlineStr"/>
      <c r="I379" s="17" t="inlineStr"/>
    </row>
    <row r="380" ht="28" customHeight="1">
      <c r="A380" s="17" t="inlineStr"/>
      <c r="B380" s="18" t="inlineStr"/>
      <c r="C380" s="16" t="inlineStr"/>
      <c r="D380" s="16" t="inlineStr">
        <is>
          <t>Gravity (Closing)</t>
        </is>
      </c>
      <c r="E380" s="14" t="inlineStr">
        <is>
          <t>J</t>
        </is>
      </c>
      <c r="F380" s="12">
        <f>AVERAGE(J221)</f>
        <v/>
      </c>
      <c r="G380" s="13" t="inlineStr">
        <is>
          <t>AVERAGE</t>
        </is>
      </c>
      <c r="H380" s="16" t="inlineStr"/>
      <c r="I380" s="17" t="inlineStr"/>
    </row>
    <row r="381" ht="28" customHeight="1">
      <c r="A381" s="17" t="inlineStr"/>
      <c r="B381" s="18" t="inlineStr"/>
      <c r="C381" s="16" t="inlineStr"/>
      <c r="D381" s="16" t="inlineStr">
        <is>
          <t>Total Water (BBLs)</t>
        </is>
      </c>
      <c r="E381" s="14" t="inlineStr">
        <is>
          <t>L</t>
        </is>
      </c>
      <c r="F381" s="8">
        <f>L221</f>
        <v/>
      </c>
      <c r="G381" s="9" t="inlineStr">
        <is>
          <t>SUM</t>
        </is>
      </c>
      <c r="H381" s="16" t="inlineStr"/>
      <c r="I381" s="17" t="inlineStr"/>
    </row>
    <row r="382" ht="28" customHeight="1">
      <c r="A382" s="17" t="inlineStr"/>
      <c r="B382" s="18" t="inlineStr"/>
      <c r="C382" s="16" t="inlineStr"/>
      <c r="D382" s="16" t="inlineStr">
        <is>
          <t>Volume of Available Product (BBLs)</t>
        </is>
      </c>
      <c r="E382" s="14" t="inlineStr">
        <is>
          <t>N</t>
        </is>
      </c>
      <c r="F382" s="8">
        <f>N221</f>
        <v/>
      </c>
      <c r="G382" s="9" t="inlineStr">
        <is>
          <t>SUM</t>
        </is>
      </c>
      <c r="H382" s="16" t="inlineStr"/>
      <c r="I382" s="17" t="inlineStr"/>
    </row>
    <row r="383" ht="28" customHeight="1">
      <c r="A383" s="17" t="inlineStr"/>
      <c r="B383" s="18" t="inlineStr"/>
      <c r="C383" s="16" t="inlineStr"/>
      <c r="D383" s="16" t="inlineStr">
        <is>
          <t>Remaining Capacity (BBLs)</t>
        </is>
      </c>
      <c r="E383" s="14" t="inlineStr">
        <is>
          <t>O</t>
        </is>
      </c>
      <c r="F383" s="8">
        <f>O221</f>
        <v/>
      </c>
      <c r="G383" s="9" t="inlineStr">
        <is>
          <t>SUM</t>
        </is>
      </c>
      <c r="H383" s="16" t="inlineStr"/>
      <c r="I383" s="17" t="inlineStr"/>
    </row>
    <row r="384" ht="28" customHeight="1">
      <c r="A384" s="17" t="inlineStr"/>
      <c r="B384" s="18" t="inlineStr"/>
      <c r="C384" s="16" t="inlineStr"/>
      <c r="D384" s="16" t="inlineStr">
        <is>
          <t>Inventory Change Net Vol (BBLs)</t>
        </is>
      </c>
      <c r="E384" s="14" t="inlineStr">
        <is>
          <t>P</t>
        </is>
      </c>
      <c r="F384" s="8">
        <f>P221</f>
        <v/>
      </c>
      <c r="G384" s="9" t="inlineStr">
        <is>
          <t>SUM</t>
        </is>
      </c>
      <c r="H384" s="16" t="inlineStr"/>
      <c r="I384" s="17" t="inlineStr"/>
    </row>
    <row r="385" ht="28" customHeight="1">
      <c r="A385" s="5" t="n">
        <v>43</v>
      </c>
      <c r="B385" s="6" t="inlineStr">
        <is>
          <t>Acc_UnstnchdPropane</t>
        </is>
      </c>
      <c r="C385" s="7" t="inlineStr">
        <is>
          <t>Unstenched Propane</t>
        </is>
      </c>
      <c r="D385" s="7" t="inlineStr">
        <is>
          <t>Opening Net Volume (BBLs)</t>
        </is>
      </c>
      <c r="E385" s="5" t="inlineStr">
        <is>
          <t>E</t>
        </is>
      </c>
      <c r="F385" s="8">
        <f>E224+E225+E226+E227+E228+E229+E230+E231+E232+E233+E234+E235+E236+E237</f>
        <v/>
      </c>
      <c r="G385" s="9" t="inlineStr">
        <is>
          <t>SUM</t>
        </is>
      </c>
      <c r="H385" s="7" t="inlineStr">
        <is>
          <t>TK274, TK275, TK276, TK301, TK302, TK303, TK325, TK326, TK327, TK340, TK341, TK342, TK343, TK354</t>
        </is>
      </c>
      <c r="I385" s="10" t="n">
        <v>14</v>
      </c>
    </row>
    <row r="386" ht="28" customHeight="1">
      <c r="A386" s="10" t="inlineStr"/>
      <c r="B386" s="11" t="inlineStr"/>
      <c r="C386" s="7" t="inlineStr"/>
      <c r="D386" s="7" t="inlineStr">
        <is>
          <t>Opening Gravity</t>
        </is>
      </c>
      <c r="E386" s="5" t="inlineStr">
        <is>
          <t>F</t>
        </is>
      </c>
      <c r="F386" s="12">
        <f>AVERAGE(F224,F225,F226,F227,F228,F229,F230,F231,F232,F233,F234,F235,F236,F237)</f>
        <v/>
      </c>
      <c r="G386" s="13" t="inlineStr">
        <is>
          <t>AVERAGE</t>
        </is>
      </c>
      <c r="H386" s="7" t="inlineStr"/>
      <c r="I386" s="10" t="inlineStr"/>
    </row>
    <row r="387" ht="28" customHeight="1">
      <c r="A387" s="10" t="inlineStr"/>
      <c r="B387" s="11" t="inlineStr"/>
      <c r="C387" s="7" t="inlineStr"/>
      <c r="D387" s="7" t="inlineStr">
        <is>
          <t>Closing Net Volume (BBLs)</t>
        </is>
      </c>
      <c r="E387" s="5" t="inlineStr">
        <is>
          <t>G</t>
        </is>
      </c>
      <c r="F387" s="8">
        <f>G224+G225+G226+G227+G228+G229+G230+G231+G232+G233+G234+G235+G236+G237</f>
        <v/>
      </c>
      <c r="G387" s="9" t="inlineStr">
        <is>
          <t>SUM</t>
        </is>
      </c>
      <c r="H387" s="7" t="inlineStr"/>
      <c r="I387" s="10" t="inlineStr"/>
    </row>
    <row r="388" ht="28" customHeight="1">
      <c r="A388" s="10" t="inlineStr"/>
      <c r="B388" s="11" t="inlineStr"/>
      <c r="C388" s="7" t="inlineStr"/>
      <c r="D388" s="7" t="inlineStr">
        <is>
          <t>Closing Gross Volume (BBLs)</t>
        </is>
      </c>
      <c r="E388" s="5" t="inlineStr">
        <is>
          <t>H</t>
        </is>
      </c>
      <c r="F388" s="8">
        <f>H224+H225+H226+H227+H228+H229+H230+H231+H232+H233+H234+H235+H236+H237</f>
        <v/>
      </c>
      <c r="G388" s="9" t="inlineStr">
        <is>
          <t>SUM</t>
        </is>
      </c>
      <c r="H388" s="7" t="inlineStr"/>
      <c r="I388" s="10" t="inlineStr"/>
    </row>
    <row r="389" ht="28" customHeight="1">
      <c r="A389" s="10" t="inlineStr"/>
      <c r="B389" s="11" t="inlineStr"/>
      <c r="C389" s="7" t="inlineStr"/>
      <c r="D389" s="7" t="inlineStr">
        <is>
          <t>Gravity (Closing)</t>
        </is>
      </c>
      <c r="E389" s="5" t="inlineStr">
        <is>
          <t>J</t>
        </is>
      </c>
      <c r="F389" s="12">
        <f>AVERAGE(J224,J225,J226,J227,J228,J229,J230,J231,J232,J233,J234,J235,J236,J237)</f>
        <v/>
      </c>
      <c r="G389" s="13" t="inlineStr">
        <is>
          <t>AVERAGE</t>
        </is>
      </c>
      <c r="H389" s="7" t="inlineStr"/>
      <c r="I389" s="10" t="inlineStr"/>
    </row>
    <row r="390" ht="28" customHeight="1">
      <c r="A390" s="10" t="inlineStr"/>
      <c r="B390" s="11" t="inlineStr"/>
      <c r="C390" s="7" t="inlineStr"/>
      <c r="D390" s="7" t="inlineStr">
        <is>
          <t>Total Water (BBLs)</t>
        </is>
      </c>
      <c r="E390" s="5" t="inlineStr">
        <is>
          <t>L</t>
        </is>
      </c>
      <c r="F390" s="8">
        <f>L224+L225+L226+L227+L228+L229+L230+L231+L232+L233+L234+L235+L236+L237</f>
        <v/>
      </c>
      <c r="G390" s="9" t="inlineStr">
        <is>
          <t>SUM</t>
        </is>
      </c>
      <c r="H390" s="7" t="inlineStr"/>
      <c r="I390" s="10" t="inlineStr"/>
    </row>
    <row r="391" ht="28" customHeight="1">
      <c r="A391" s="10" t="inlineStr"/>
      <c r="B391" s="11" t="inlineStr"/>
      <c r="C391" s="7" t="inlineStr"/>
      <c r="D391" s="7" t="inlineStr">
        <is>
          <t>Volume of Available Product (BBLs)</t>
        </is>
      </c>
      <c r="E391" s="5" t="inlineStr">
        <is>
          <t>N</t>
        </is>
      </c>
      <c r="F391" s="8">
        <f>N224+N225+N226+N227+N228+N229+N230+N231+N232+N233+N234+N235+N236+N237</f>
        <v/>
      </c>
      <c r="G391" s="9" t="inlineStr">
        <is>
          <t>SUM</t>
        </is>
      </c>
      <c r="H391" s="7" t="inlineStr"/>
      <c r="I391" s="10" t="inlineStr"/>
    </row>
    <row r="392" ht="28" customHeight="1">
      <c r="A392" s="10" t="inlineStr"/>
      <c r="B392" s="11" t="inlineStr"/>
      <c r="C392" s="7" t="inlineStr"/>
      <c r="D392" s="7" t="inlineStr">
        <is>
          <t>Remaining Capacity (BBLs)</t>
        </is>
      </c>
      <c r="E392" s="5" t="inlineStr">
        <is>
          <t>O</t>
        </is>
      </c>
      <c r="F392" s="8">
        <f>O224+O225+O226+O227+O228+O229+O230+O231+O232+O233+O234+O235+O236+O237</f>
        <v/>
      </c>
      <c r="G392" s="9" t="inlineStr">
        <is>
          <t>SUM</t>
        </is>
      </c>
      <c r="H392" s="7" t="inlineStr"/>
      <c r="I392" s="10" t="inlineStr"/>
    </row>
    <row r="393" ht="28" customHeight="1">
      <c r="A393" s="10" t="inlineStr"/>
      <c r="B393" s="11" t="inlineStr"/>
      <c r="C393" s="7" t="inlineStr"/>
      <c r="D393" s="7" t="inlineStr">
        <is>
          <t>Inventory Change Net Vol (BBLs)</t>
        </is>
      </c>
      <c r="E393" s="5" t="inlineStr">
        <is>
          <t>P</t>
        </is>
      </c>
      <c r="F393" s="8">
        <f>P224+P225+P226+P227+P228+P229+P230+P231+P232+P233+P234+P235+P236+P237</f>
        <v/>
      </c>
      <c r="G393" s="9" t="inlineStr">
        <is>
          <t>SUM</t>
        </is>
      </c>
      <c r="H393" s="7" t="inlineStr"/>
      <c r="I393" s="10" t="inlineStr"/>
    </row>
    <row r="394" ht="28" customHeight="1">
      <c r="A394" s="14" t="n">
        <v>44</v>
      </c>
      <c r="B394" s="15" t="inlineStr">
        <is>
          <t>H20</t>
        </is>
      </c>
      <c r="C394" s="16" t="inlineStr">
        <is>
          <t>Water</t>
        </is>
      </c>
      <c r="D394" s="16" t="inlineStr">
        <is>
          <t>Opening Net Volume (BBLs)</t>
        </is>
      </c>
      <c r="E394" s="14" t="inlineStr">
        <is>
          <t>E</t>
        </is>
      </c>
      <c r="F394" s="8">
        <f>E240</f>
        <v/>
      </c>
      <c r="G394" s="9" t="inlineStr">
        <is>
          <t>SUM</t>
        </is>
      </c>
      <c r="H394" s="16" t="inlineStr">
        <is>
          <t>TK83</t>
        </is>
      </c>
      <c r="I394" s="17" t="n">
        <v>1</v>
      </c>
    </row>
    <row r="395" ht="28" customHeight="1">
      <c r="A395" s="17" t="inlineStr"/>
      <c r="B395" s="18" t="inlineStr"/>
      <c r="C395" s="16" t="inlineStr"/>
      <c r="D395" s="16" t="inlineStr">
        <is>
          <t>Opening Gravity</t>
        </is>
      </c>
      <c r="E395" s="14" t="inlineStr">
        <is>
          <t>F</t>
        </is>
      </c>
      <c r="F395" s="12">
        <f>AVERAGE(F240)</f>
        <v/>
      </c>
      <c r="G395" s="13" t="inlineStr">
        <is>
          <t>AVERAGE</t>
        </is>
      </c>
      <c r="H395" s="16" t="inlineStr"/>
      <c r="I395" s="17" t="inlineStr"/>
    </row>
    <row r="396" ht="28" customHeight="1">
      <c r="A396" s="17" t="inlineStr"/>
      <c r="B396" s="18" t="inlineStr"/>
      <c r="C396" s="16" t="inlineStr"/>
      <c r="D396" s="16" t="inlineStr">
        <is>
          <t>Closing Net Volume (BBLs)</t>
        </is>
      </c>
      <c r="E396" s="14" t="inlineStr">
        <is>
          <t>G</t>
        </is>
      </c>
      <c r="F396" s="8">
        <f>G240</f>
        <v/>
      </c>
      <c r="G396" s="9" t="inlineStr">
        <is>
          <t>SUM</t>
        </is>
      </c>
      <c r="H396" s="16" t="inlineStr"/>
      <c r="I396" s="17" t="inlineStr"/>
    </row>
    <row r="397" ht="28" customHeight="1">
      <c r="A397" s="17" t="inlineStr"/>
      <c r="B397" s="18" t="inlineStr"/>
      <c r="C397" s="16" t="inlineStr"/>
      <c r="D397" s="16" t="inlineStr">
        <is>
          <t>Closing Gross Volume (BBLs)</t>
        </is>
      </c>
      <c r="E397" s="14" t="inlineStr">
        <is>
          <t>H</t>
        </is>
      </c>
      <c r="F397" s="8">
        <f>H240</f>
        <v/>
      </c>
      <c r="G397" s="9" t="inlineStr">
        <is>
          <t>SUM</t>
        </is>
      </c>
      <c r="H397" s="16" t="inlineStr"/>
      <c r="I397" s="17" t="inlineStr"/>
    </row>
    <row r="398" ht="28" customHeight="1">
      <c r="A398" s="17" t="inlineStr"/>
      <c r="B398" s="18" t="inlineStr"/>
      <c r="C398" s="16" t="inlineStr"/>
      <c r="D398" s="16" t="inlineStr">
        <is>
          <t>Gravity (Closing)</t>
        </is>
      </c>
      <c r="E398" s="14" t="inlineStr">
        <is>
          <t>J</t>
        </is>
      </c>
      <c r="F398" s="12">
        <f>AVERAGE(J240)</f>
        <v/>
      </c>
      <c r="G398" s="13" t="inlineStr">
        <is>
          <t>AVERAGE</t>
        </is>
      </c>
      <c r="H398" s="16" t="inlineStr"/>
      <c r="I398" s="17" t="inlineStr"/>
    </row>
    <row r="399" ht="28" customHeight="1">
      <c r="A399" s="17" t="inlineStr"/>
      <c r="B399" s="18" t="inlineStr"/>
      <c r="C399" s="16" t="inlineStr"/>
      <c r="D399" s="16" t="inlineStr">
        <is>
          <t>Total Water (BBLs)</t>
        </is>
      </c>
      <c r="E399" s="14" t="inlineStr">
        <is>
          <t>L</t>
        </is>
      </c>
      <c r="F399" s="8">
        <f>L240</f>
        <v/>
      </c>
      <c r="G399" s="9" t="inlineStr">
        <is>
          <t>SUM</t>
        </is>
      </c>
      <c r="H399" s="16" t="inlineStr"/>
      <c r="I399" s="17" t="inlineStr"/>
    </row>
    <row r="400" ht="28" customHeight="1">
      <c r="A400" s="17" t="inlineStr"/>
      <c r="B400" s="18" t="inlineStr"/>
      <c r="C400" s="16" t="inlineStr"/>
      <c r="D400" s="16" t="inlineStr">
        <is>
          <t>Volume of Available Product (BBLs)</t>
        </is>
      </c>
      <c r="E400" s="14" t="inlineStr">
        <is>
          <t>N</t>
        </is>
      </c>
      <c r="F400" s="8">
        <f>N240</f>
        <v/>
      </c>
      <c r="G400" s="9" t="inlineStr">
        <is>
          <t>SUM</t>
        </is>
      </c>
      <c r="H400" s="16" t="inlineStr"/>
      <c r="I400" s="17" t="inlineStr"/>
    </row>
    <row r="401" ht="28" customHeight="1">
      <c r="A401" s="17" t="inlineStr"/>
      <c r="B401" s="18" t="inlineStr"/>
      <c r="C401" s="16" t="inlineStr"/>
      <c r="D401" s="16" t="inlineStr">
        <is>
          <t>Remaining Capacity (BBLs)</t>
        </is>
      </c>
      <c r="E401" s="14" t="inlineStr">
        <is>
          <t>O</t>
        </is>
      </c>
      <c r="F401" s="8">
        <f>O240</f>
        <v/>
      </c>
      <c r="G401" s="9" t="inlineStr">
        <is>
          <t>SUM</t>
        </is>
      </c>
      <c r="H401" s="16" t="inlineStr"/>
      <c r="I401" s="17" t="inlineStr"/>
    </row>
    <row r="402" ht="28" customHeight="1">
      <c r="A402" s="17" t="inlineStr"/>
      <c r="B402" s="18" t="inlineStr"/>
      <c r="C402" s="16" t="inlineStr"/>
      <c r="D402" s="16" t="inlineStr">
        <is>
          <t>Inventory Change Net Vol (BBLs)</t>
        </is>
      </c>
      <c r="E402" s="14" t="inlineStr">
        <is>
          <t>P</t>
        </is>
      </c>
      <c r="F402" s="8">
        <f>P240</f>
        <v/>
      </c>
      <c r="G402" s="9" t="inlineStr">
        <is>
          <t>SUM</t>
        </is>
      </c>
      <c r="H402" s="16" t="inlineStr"/>
      <c r="I402" s="17" t="inlineStr"/>
    </row>
    <row r="403" ht="28" customHeight="1">
      <c r="A403" s="5" t="n">
        <v>45</v>
      </c>
      <c r="B403" s="6" t="inlineStr">
        <is>
          <t>OOS</t>
        </is>
      </c>
      <c r="C403" s="7" t="inlineStr">
        <is>
          <t>Out of Service</t>
        </is>
      </c>
      <c r="D403" s="7" t="inlineStr">
        <is>
          <t>Opening Net Volume (BBLs)</t>
        </is>
      </c>
      <c r="E403" s="5" t="inlineStr">
        <is>
          <t>E</t>
        </is>
      </c>
      <c r="F403" s="8">
        <f>E243+E244+E245</f>
        <v/>
      </c>
      <c r="G403" s="9" t="inlineStr">
        <is>
          <t>SUM</t>
        </is>
      </c>
      <c r="H403" s="7" t="inlineStr">
        <is>
          <t>TK153, TK774, TK775</t>
        </is>
      </c>
      <c r="I403" s="10" t="n">
        <v>3</v>
      </c>
    </row>
    <row r="404" ht="28" customHeight="1">
      <c r="A404" s="10" t="inlineStr"/>
      <c r="B404" s="11" t="inlineStr"/>
      <c r="C404" s="7" t="inlineStr"/>
      <c r="D404" s="7" t="inlineStr">
        <is>
          <t>Opening Gravity</t>
        </is>
      </c>
      <c r="E404" s="5" t="inlineStr">
        <is>
          <t>F</t>
        </is>
      </c>
      <c r="F404" s="12">
        <f>AVERAGE(F243,F244,F245)</f>
        <v/>
      </c>
      <c r="G404" s="13" t="inlineStr">
        <is>
          <t>AVERAGE</t>
        </is>
      </c>
      <c r="H404" s="7" t="inlineStr"/>
      <c r="I404" s="10" t="inlineStr"/>
    </row>
    <row r="405" ht="28" customHeight="1">
      <c r="A405" s="10" t="inlineStr"/>
      <c r="B405" s="11" t="inlineStr"/>
      <c r="C405" s="7" t="inlineStr"/>
      <c r="D405" s="7" t="inlineStr">
        <is>
          <t>Closing Net Volume (BBLs)</t>
        </is>
      </c>
      <c r="E405" s="5" t="inlineStr">
        <is>
          <t>G</t>
        </is>
      </c>
      <c r="F405" s="8">
        <f>G243+G244+G245</f>
        <v/>
      </c>
      <c r="G405" s="9" t="inlineStr">
        <is>
          <t>SUM</t>
        </is>
      </c>
      <c r="H405" s="7" t="inlineStr"/>
      <c r="I405" s="10" t="inlineStr"/>
    </row>
    <row r="406" ht="28" customHeight="1">
      <c r="A406" s="10" t="inlineStr"/>
      <c r="B406" s="11" t="inlineStr"/>
      <c r="C406" s="7" t="inlineStr"/>
      <c r="D406" s="7" t="inlineStr">
        <is>
          <t>Closing Gross Volume (BBLs)</t>
        </is>
      </c>
      <c r="E406" s="5" t="inlineStr">
        <is>
          <t>H</t>
        </is>
      </c>
      <c r="F406" s="8">
        <f>H243+H244+H245</f>
        <v/>
      </c>
      <c r="G406" s="9" t="inlineStr">
        <is>
          <t>SUM</t>
        </is>
      </c>
      <c r="H406" s="7" t="inlineStr"/>
      <c r="I406" s="10" t="inlineStr"/>
    </row>
    <row r="407" ht="28" customHeight="1">
      <c r="A407" s="10" t="inlineStr"/>
      <c r="B407" s="11" t="inlineStr"/>
      <c r="C407" s="7" t="inlineStr"/>
      <c r="D407" s="7" t="inlineStr">
        <is>
          <t>Gravity (Closing)</t>
        </is>
      </c>
      <c r="E407" s="5" t="inlineStr">
        <is>
          <t>J</t>
        </is>
      </c>
      <c r="F407" s="12">
        <f>AVERAGE(J243,J244,J245)</f>
        <v/>
      </c>
      <c r="G407" s="13" t="inlineStr">
        <is>
          <t>AVERAGE</t>
        </is>
      </c>
      <c r="H407" s="7" t="inlineStr"/>
      <c r="I407" s="10" t="inlineStr"/>
    </row>
    <row r="408" ht="28" customHeight="1">
      <c r="A408" s="10" t="inlineStr"/>
      <c r="B408" s="11" t="inlineStr"/>
      <c r="C408" s="7" t="inlineStr"/>
      <c r="D408" s="7" t="inlineStr">
        <is>
          <t>Total Water (BBLs)</t>
        </is>
      </c>
      <c r="E408" s="5" t="inlineStr">
        <is>
          <t>L</t>
        </is>
      </c>
      <c r="F408" s="8">
        <f>L243+L244+L245</f>
        <v/>
      </c>
      <c r="G408" s="9" t="inlineStr">
        <is>
          <t>SUM</t>
        </is>
      </c>
      <c r="H408" s="7" t="inlineStr"/>
      <c r="I408" s="10" t="inlineStr"/>
    </row>
    <row r="409" ht="28" customHeight="1">
      <c r="A409" s="10" t="inlineStr"/>
      <c r="B409" s="11" t="inlineStr"/>
      <c r="C409" s="7" t="inlineStr"/>
      <c r="D409" s="7" t="inlineStr">
        <is>
          <t>Volume of Available Product (BBLs)</t>
        </is>
      </c>
      <c r="E409" s="5" t="inlineStr">
        <is>
          <t>N</t>
        </is>
      </c>
      <c r="F409" s="8">
        <f>N243+N244+N245</f>
        <v/>
      </c>
      <c r="G409" s="9" t="inlineStr">
        <is>
          <t>SUM</t>
        </is>
      </c>
      <c r="H409" s="7" t="inlineStr"/>
      <c r="I409" s="10" t="inlineStr"/>
    </row>
    <row r="410" ht="28" customHeight="1">
      <c r="A410" s="10" t="inlineStr"/>
      <c r="B410" s="11" t="inlineStr"/>
      <c r="C410" s="7" t="inlineStr"/>
      <c r="D410" s="7" t="inlineStr">
        <is>
          <t>Remaining Capacity (BBLs)</t>
        </is>
      </c>
      <c r="E410" s="5" t="inlineStr">
        <is>
          <t>O</t>
        </is>
      </c>
      <c r="F410" s="8">
        <f>O243+O244+O245</f>
        <v/>
      </c>
      <c r="G410" s="9" t="inlineStr">
        <is>
          <t>SUM</t>
        </is>
      </c>
      <c r="H410" s="7" t="inlineStr"/>
      <c r="I410" s="10" t="inlineStr"/>
    </row>
    <row r="411" ht="28" customHeight="1">
      <c r="A411" s="10" t="inlineStr"/>
      <c r="B411" s="11" t="inlineStr"/>
      <c r="C411" s="7" t="inlineStr"/>
      <c r="D411" s="7" t="inlineStr">
        <is>
          <t>Inventory Change Net Vol (BBLs)</t>
        </is>
      </c>
      <c r="E411" s="5" t="inlineStr">
        <is>
          <t>P</t>
        </is>
      </c>
      <c r="F411" s="8">
        <f>P243+P244+P245</f>
        <v/>
      </c>
      <c r="G411" s="9" t="inlineStr">
        <is>
          <t>SUM</t>
        </is>
      </c>
      <c r="H411" s="7" t="inlineStr"/>
      <c r="I411" s="10" t="inlineStr"/>
    </row>
  </sheetData>
  <autoFilter ref="A6:I411"/>
  <mergeCells count="3">
    <mergeCell ref="A1:I1"/>
    <mergeCell ref="A4:I4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8" customWidth="1" min="3" max="3"/>
    <col width="14" customWidth="1" min="4" max="4"/>
    <col width="46" customWidth="1" min="5" max="5"/>
    <col width="36" customWidth="1" min="6" max="6"/>
    <col width="40" customWidth="1" min="7" max="7"/>
  </cols>
  <sheetData>
    <row r="1" ht="30" customHeight="1">
      <c r="A1" s="19" t="inlineStr">
        <is>
          <t>FORMULA QUICK REFERENCE  —  KPI Calculation Patterns</t>
        </is>
      </c>
    </row>
    <row r="2" ht="36" customHeight="1">
      <c r="A2" s="4" t="inlineStr">
        <is>
          <t>#</t>
        </is>
      </c>
      <c r="B2" s="4" t="inlineStr">
        <is>
          <t>KPI Name</t>
        </is>
      </c>
      <c r="C2" s="4" t="inlineStr">
        <is>
          <t>Column</t>
        </is>
      </c>
      <c r="D2" s="4" t="inlineStr">
        <is>
          <t>Formula Type</t>
        </is>
      </c>
      <c r="E2" s="4" t="inlineStr">
        <is>
          <t>Actual Formula
Pattern in Excel</t>
        </is>
      </c>
      <c r="F2" s="4" t="inlineStr">
        <is>
          <t>Example
(2-tank group)</t>
        </is>
      </c>
      <c r="G2" s="4" t="inlineStr">
        <is>
          <t>Description</t>
        </is>
      </c>
    </row>
    <row r="3" ht="24" customHeight="1">
      <c r="A3" s="9" t="n">
        <v>1</v>
      </c>
      <c r="B3" s="20" t="inlineStr">
        <is>
          <t>Opening Net Volume (BBLs)</t>
        </is>
      </c>
      <c r="C3" s="9" t="inlineStr">
        <is>
          <t>E</t>
        </is>
      </c>
      <c r="D3" s="9" t="inlineStr">
        <is>
          <t>SUM</t>
        </is>
      </c>
      <c r="E3" s="8">
        <f>E[row1]+E[row2]+...+E[rowN]</f>
        <v/>
      </c>
      <c r="F3" s="21">
        <f>E10+E11</f>
        <v/>
      </c>
      <c r="G3" s="22" t="inlineStr">
        <is>
          <t>Sum of opening barrels across all tanks in group</t>
        </is>
      </c>
    </row>
    <row r="4" ht="24" customHeight="1">
      <c r="A4" s="13" t="n">
        <v>2</v>
      </c>
      <c r="B4" s="23" t="inlineStr">
        <is>
          <t>Opening Gravity</t>
        </is>
      </c>
      <c r="C4" s="13" t="inlineStr">
        <is>
          <t>F</t>
        </is>
      </c>
      <c r="D4" s="13" t="inlineStr">
        <is>
          <t>AVERAGE</t>
        </is>
      </c>
      <c r="E4" s="12">
        <f>AVERAGE(F[row1],F[row2],...,F[rowN])</f>
        <v/>
      </c>
      <c r="F4" s="24">
        <f>AVERAGE(F10,F11)</f>
        <v/>
      </c>
      <c r="G4" s="25" t="inlineStr">
        <is>
          <t>Average opening API gravity across all tanks</t>
        </is>
      </c>
    </row>
    <row r="5" ht="24" customHeight="1">
      <c r="A5" s="9" t="n">
        <v>3</v>
      </c>
      <c r="B5" s="20" t="inlineStr">
        <is>
          <t>Closing Net Volume (BBLs)</t>
        </is>
      </c>
      <c r="C5" s="9" t="inlineStr">
        <is>
          <t>G</t>
        </is>
      </c>
      <c r="D5" s="9" t="inlineStr">
        <is>
          <t>SUM</t>
        </is>
      </c>
      <c r="E5" s="8">
        <f>G[row1]+G[row2]+...+G[rowN]</f>
        <v/>
      </c>
      <c r="F5" s="21">
        <f>G10+G11</f>
        <v/>
      </c>
      <c r="G5" s="22" t="inlineStr">
        <is>
          <t>Sum of closing barrels across all tanks in group</t>
        </is>
      </c>
    </row>
    <row r="6" ht="24" customHeight="1">
      <c r="A6" s="9" t="n">
        <v>4</v>
      </c>
      <c r="B6" s="20" t="inlineStr">
        <is>
          <t>Closing Gross Volume (BBLs)</t>
        </is>
      </c>
      <c r="C6" s="9" t="inlineStr">
        <is>
          <t>H</t>
        </is>
      </c>
      <c r="D6" s="9" t="inlineStr">
        <is>
          <t>SUM</t>
        </is>
      </c>
      <c r="E6" s="8">
        <f>H[row1]+H[row2]+...+H[rowN]</f>
        <v/>
      </c>
      <c r="F6" s="21">
        <f>H10+H11</f>
        <v/>
      </c>
      <c r="G6" s="22" t="inlineStr">
        <is>
          <t>Gross volume incl. water &amp; sediment — summed</t>
        </is>
      </c>
    </row>
    <row r="7" ht="24" customHeight="1">
      <c r="A7" s="26" t="n">
        <v>5</v>
      </c>
      <c r="B7" s="27" t="inlineStr">
        <is>
          <t>Level Feet</t>
        </is>
      </c>
      <c r="C7" s="26" t="inlineStr">
        <is>
          <t>I</t>
        </is>
      </c>
      <c r="D7" s="26" t="inlineStr">
        <is>
          <t>Raw Data</t>
        </is>
      </c>
      <c r="E7" s="28" t="inlineStr">
        <is>
          <t>N/A  (no Total formula)</t>
        </is>
      </c>
      <c r="F7" s="29" t="inlineStr">
        <is>
          <t>No formula in Total row</t>
        </is>
      </c>
      <c r="G7" s="30" t="inlineStr">
        <is>
          <t>Individual tank gauge reading — not aggregated</t>
        </is>
      </c>
    </row>
    <row r="8" ht="24" customHeight="1">
      <c r="A8" s="13" t="n">
        <v>6</v>
      </c>
      <c r="B8" s="23" t="inlineStr">
        <is>
          <t>Gravity (Closing)</t>
        </is>
      </c>
      <c r="C8" s="13" t="inlineStr">
        <is>
          <t>J</t>
        </is>
      </c>
      <c r="D8" s="13" t="inlineStr">
        <is>
          <t>AVERAGE</t>
        </is>
      </c>
      <c r="E8" s="12">
        <f>AVERAGE(J[row1],J[row2],...,J[rowN])</f>
        <v/>
      </c>
      <c r="F8" s="24">
        <f>AVERAGE(J10,J11)</f>
        <v/>
      </c>
      <c r="G8" s="25" t="inlineStr">
        <is>
          <t>Average closing API gravity across all tanks</t>
        </is>
      </c>
    </row>
    <row r="9" ht="24" customHeight="1">
      <c r="A9" s="26" t="n">
        <v>7</v>
      </c>
      <c r="B9" s="27" t="inlineStr">
        <is>
          <t>Temperature</t>
        </is>
      </c>
      <c r="C9" s="26" t="inlineStr">
        <is>
          <t>K</t>
        </is>
      </c>
      <c r="D9" s="26" t="inlineStr">
        <is>
          <t>Raw Data</t>
        </is>
      </c>
      <c r="E9" s="28" t="inlineStr">
        <is>
          <t>N/A  (no Total formula)</t>
        </is>
      </c>
      <c r="F9" s="29" t="inlineStr">
        <is>
          <t>No formula in Total row</t>
        </is>
      </c>
      <c r="G9" s="30" t="inlineStr">
        <is>
          <t>Individual tank temperature — not aggregated</t>
        </is>
      </c>
    </row>
    <row r="10" ht="24" customHeight="1">
      <c r="A10" s="9" t="n">
        <v>8</v>
      </c>
      <c r="B10" s="20" t="inlineStr">
        <is>
          <t>Total Water (BBLs)</t>
        </is>
      </c>
      <c r="C10" s="9" t="inlineStr">
        <is>
          <t>L</t>
        </is>
      </c>
      <c r="D10" s="9" t="inlineStr">
        <is>
          <t>SUM</t>
        </is>
      </c>
      <c r="E10" s="8">
        <f>L[row1]+L[row2]+...+L[rowN]</f>
        <v/>
      </c>
      <c r="F10" s="21">
        <f>L10+L11</f>
        <v/>
      </c>
      <c r="G10" s="22" t="inlineStr">
        <is>
          <t>Total water barrels across all tanks in group</t>
        </is>
      </c>
    </row>
    <row r="11" ht="24" customHeight="1">
      <c r="A11" s="26" t="n">
        <v>9</v>
      </c>
      <c r="B11" s="27" t="inlineStr">
        <is>
          <t>BSW Feet</t>
        </is>
      </c>
      <c r="C11" s="26" t="inlineStr">
        <is>
          <t>M</t>
        </is>
      </c>
      <c r="D11" s="26" t="inlineStr">
        <is>
          <t>Raw Data</t>
        </is>
      </c>
      <c r="E11" s="28" t="inlineStr">
        <is>
          <t>N/A  (no Total formula)</t>
        </is>
      </c>
      <c r="F11" s="29" t="inlineStr">
        <is>
          <t>No formula in Total row</t>
        </is>
      </c>
      <c r="G11" s="30" t="inlineStr">
        <is>
          <t>Basic Sediment &amp; Water level per tank — not aggregated</t>
        </is>
      </c>
    </row>
    <row r="12" ht="24" customHeight="1">
      <c r="A12" s="9" t="n">
        <v>10</v>
      </c>
      <c r="B12" s="20" t="inlineStr">
        <is>
          <t>Volume of Available Product (BBLs)</t>
        </is>
      </c>
      <c r="C12" s="9" t="inlineStr">
        <is>
          <t>N</t>
        </is>
      </c>
      <c r="D12" s="9" t="inlineStr">
        <is>
          <t>SUM</t>
        </is>
      </c>
      <c r="E12" s="8">
        <f>N[row1]+N[row2]+...+N[rowN]</f>
        <v/>
      </c>
      <c r="F12" s="21">
        <f>N10+N11</f>
        <v/>
      </c>
      <c r="G12" s="22" t="inlineStr">
        <is>
          <t>Usable product (Net Vol − Water) — summed</t>
        </is>
      </c>
    </row>
    <row r="13" ht="24" customHeight="1">
      <c r="A13" s="9" t="n">
        <v>11</v>
      </c>
      <c r="B13" s="20" t="inlineStr">
        <is>
          <t>Remaining Capacity (BBLs)</t>
        </is>
      </c>
      <c r="C13" s="9" t="inlineStr">
        <is>
          <t>O</t>
        </is>
      </c>
      <c r="D13" s="9" t="inlineStr">
        <is>
          <t>SUM</t>
        </is>
      </c>
      <c r="E13" s="8">
        <f>O[row1]+O[row2]+...+O[rowN]</f>
        <v/>
      </c>
      <c r="F13" s="21">
        <f>O10+O11</f>
        <v/>
      </c>
      <c r="G13" s="22" t="inlineStr">
        <is>
          <t>Available tank headroom — summed across group</t>
        </is>
      </c>
    </row>
    <row r="14" ht="24" customHeight="1">
      <c r="A14" s="9" t="n">
        <v>12</v>
      </c>
      <c r="B14" s="20" t="inlineStr">
        <is>
          <t>Inventory Change Net Vol (BBLs)</t>
        </is>
      </c>
      <c r="C14" s="9" t="inlineStr">
        <is>
          <t>P</t>
        </is>
      </c>
      <c r="D14" s="9" t="inlineStr">
        <is>
          <t>SUM</t>
        </is>
      </c>
      <c r="E14" s="8">
        <f>P[row1]+P[row2]+...+P[rowN]</f>
        <v/>
      </c>
      <c r="F14" s="21">
        <f>P10+P11</f>
        <v/>
      </c>
      <c r="G14" s="22" t="inlineStr">
        <is>
          <t>Closing − Opening net change — summed across group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36" customWidth="1" min="3" max="3"/>
    <col width="40" customWidth="1" min="4" max="4"/>
    <col width="7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30" customHeight="1">
      <c r="A1" s="19" t="inlineStr">
        <is>
          <t>TABLE SUMMARY  —  All 45 Product Groups with Formula Applied per KPI</t>
        </is>
      </c>
    </row>
    <row r="2" ht="40" customHeight="1">
      <c r="A2" s="31" t="inlineStr">
        <is>
          <t>#</t>
        </is>
      </c>
      <c r="B2" s="31" t="inlineStr">
        <is>
          <t>SAP Code</t>
        </is>
      </c>
      <c r="C2" s="31" t="inlineStr">
        <is>
          <t>Full Product Name</t>
        </is>
      </c>
      <c r="D2" s="31" t="inlineStr">
        <is>
          <t>Tanks</t>
        </is>
      </c>
      <c r="E2" s="31" t="inlineStr">
        <is>
          <t>#
Tanks</t>
        </is>
      </c>
      <c r="F2" s="31" t="inlineStr">
        <is>
          <t>Col E
Opening Net Vol</t>
        </is>
      </c>
      <c r="G2" s="31" t="inlineStr">
        <is>
          <t>Col F
Opening Gravity</t>
        </is>
      </c>
      <c r="H2" s="31" t="inlineStr">
        <is>
          <t>Col G
Closing Net Vol</t>
        </is>
      </c>
      <c r="I2" s="31" t="inlineStr">
        <is>
          <t>Col H
Closing Gross</t>
        </is>
      </c>
      <c r="J2" s="31" t="inlineStr">
        <is>
          <t>Col J
Gravity</t>
        </is>
      </c>
      <c r="K2" s="31" t="inlineStr">
        <is>
          <t>Col L
Total Water</t>
        </is>
      </c>
      <c r="L2" s="31" t="inlineStr">
        <is>
          <t>Col N
Avail Product</t>
        </is>
      </c>
      <c r="M2" s="31" t="inlineStr">
        <is>
          <t>Col O
Remain Cap</t>
        </is>
      </c>
      <c r="N2" s="31" t="inlineStr">
        <is>
          <t>Col P
Inv Change</t>
        </is>
      </c>
    </row>
    <row r="3" ht="32" customHeight="1">
      <c r="A3" s="17" t="n">
        <v>1</v>
      </c>
      <c r="B3" s="15" t="inlineStr">
        <is>
          <t>Acc_84Blendgrade</t>
        </is>
      </c>
      <c r="C3" s="16" t="inlineStr">
        <is>
          <t>84 Blendgrade</t>
        </is>
      </c>
      <c r="D3" s="16" t="inlineStr">
        <is>
          <t>LF_001, TK51</t>
        </is>
      </c>
      <c r="E3" s="17" t="n">
        <v>2</v>
      </c>
      <c r="F3" s="32">
        <f>E10+E11</f>
        <v/>
      </c>
      <c r="G3" s="33">
        <f>AVERAGE(F10,F11)</f>
        <v/>
      </c>
      <c r="H3" s="32">
        <f>G10+G11</f>
        <v/>
      </c>
      <c r="I3" s="32">
        <f>H10+H11</f>
        <v/>
      </c>
      <c r="J3" s="33">
        <f>AVERAGE(J10,J11)</f>
        <v/>
      </c>
      <c r="K3" s="32">
        <f>L10+L11</f>
        <v/>
      </c>
      <c r="L3" s="32">
        <f>N10+N11</f>
        <v/>
      </c>
      <c r="M3" s="32">
        <f>O10+O11</f>
        <v/>
      </c>
      <c r="N3" s="32">
        <f>P10+P11</f>
        <v/>
      </c>
    </row>
    <row r="4" ht="32" customHeight="1">
      <c r="A4" s="10" t="n">
        <v>2</v>
      </c>
      <c r="B4" s="6" t="inlineStr">
        <is>
          <t>Acc_84RegSuboctane</t>
        </is>
      </c>
      <c r="C4" s="7" t="inlineStr">
        <is>
          <t>84 Regular Suboctane CBG AZ</t>
        </is>
      </c>
      <c r="D4" s="7" t="inlineStr">
        <is>
          <t>TK53</t>
        </is>
      </c>
      <c r="E4" s="10" t="n">
        <v>1</v>
      </c>
      <c r="F4" s="32">
        <f>E14</f>
        <v/>
      </c>
      <c r="G4" s="33">
        <f>AVERAGE(F14)</f>
        <v/>
      </c>
      <c r="H4" s="32">
        <f>G14</f>
        <v/>
      </c>
      <c r="I4" s="32">
        <f>H14</f>
        <v/>
      </c>
      <c r="J4" s="33">
        <f>AVERAGE(J14)</f>
        <v/>
      </c>
      <c r="K4" s="32">
        <f>L14</f>
        <v/>
      </c>
      <c r="L4" s="32">
        <f>N14</f>
        <v/>
      </c>
      <c r="M4" s="32">
        <f>O14</f>
        <v/>
      </c>
      <c r="N4" s="32">
        <f>P14</f>
        <v/>
      </c>
    </row>
    <row r="5" ht="32" customHeight="1">
      <c r="A5" s="17" t="n">
        <v>3</v>
      </c>
      <c r="B5" s="15" t="inlineStr">
        <is>
          <t>Acc_84RegularCARBOB</t>
        </is>
      </c>
      <c r="C5" s="16" t="inlineStr">
        <is>
          <t>84 Regular CARBOB</t>
        </is>
      </c>
      <c r="D5" s="16" t="inlineStr">
        <is>
          <t>TK41, TK50, TK54, TK55, TK65</t>
        </is>
      </c>
      <c r="E5" s="17" t="n">
        <v>5</v>
      </c>
      <c r="F5" s="32">
        <f>E17+E18+E19+E20+E21</f>
        <v/>
      </c>
      <c r="G5" s="33">
        <f>AVERAGE(F17,F18,F19,F20,F21)</f>
        <v/>
      </c>
      <c r="H5" s="32">
        <f>G17+G18+G19+G20+G21</f>
        <v/>
      </c>
      <c r="I5" s="32">
        <f>H17+H18+H19+H20+H21</f>
        <v/>
      </c>
      <c r="J5" s="33">
        <f>AVERAGE(J17,J18,J19,J20,J21)</f>
        <v/>
      </c>
      <c r="K5" s="32">
        <f>L17+L18+L19+L20+L21</f>
        <v/>
      </c>
      <c r="L5" s="32">
        <f>N17+N18+N19+N20+N21</f>
        <v/>
      </c>
      <c r="M5" s="32">
        <f>O17+O18+O19+O20+O21</f>
        <v/>
      </c>
      <c r="N5" s="32">
        <f>P17+P18+P19+P20+P21</f>
        <v/>
      </c>
    </row>
    <row r="6" ht="32" customHeight="1">
      <c r="A6" s="10" t="n">
        <v>4</v>
      </c>
      <c r="B6" s="6" t="inlineStr">
        <is>
          <t>Acc_89PremiumCARB</t>
        </is>
      </c>
      <c r="C6" s="7" t="inlineStr">
        <is>
          <t>89 Premium CARBOB</t>
        </is>
      </c>
      <c r="D6" s="7" t="inlineStr">
        <is>
          <t>TK45, TK52</t>
        </is>
      </c>
      <c r="E6" s="10" t="n">
        <v>2</v>
      </c>
      <c r="F6" s="32">
        <f>E24+E25</f>
        <v/>
      </c>
      <c r="G6" s="33">
        <f>AVERAGE(F24,F25)</f>
        <v/>
      </c>
      <c r="H6" s="32">
        <f>G24+G25</f>
        <v/>
      </c>
      <c r="I6" s="32">
        <f>H24+H25</f>
        <v/>
      </c>
      <c r="J6" s="33">
        <f>AVERAGE(J24,J25)</f>
        <v/>
      </c>
      <c r="K6" s="32">
        <f>L24+L25</f>
        <v/>
      </c>
      <c r="L6" s="32">
        <f>N24+N25</f>
        <v/>
      </c>
      <c r="M6" s="32">
        <f>O24+O25</f>
        <v/>
      </c>
      <c r="N6" s="32">
        <f>P24+P25</f>
        <v/>
      </c>
    </row>
    <row r="7" ht="32" customHeight="1">
      <c r="A7" s="17" t="n">
        <v>5</v>
      </c>
      <c r="B7" s="15" t="inlineStr">
        <is>
          <t>Acc_AlkyFeed</t>
        </is>
      </c>
      <c r="C7" s="16" t="inlineStr">
        <is>
          <t>Alky Feed</t>
        </is>
      </c>
      <c r="D7" s="16" t="inlineStr">
        <is>
          <t>TK682, TK76, TK78</t>
        </is>
      </c>
      <c r="E7" s="17" t="n">
        <v>3</v>
      </c>
      <c r="F7" s="32">
        <f>E28+E29+E30</f>
        <v/>
      </c>
      <c r="G7" s="33">
        <f>AVERAGE(F28,F29,F30)</f>
        <v/>
      </c>
      <c r="H7" s="32">
        <f>G28+G29+G30</f>
        <v/>
      </c>
      <c r="I7" s="32">
        <f>H28+H29+H30</f>
        <v/>
      </c>
      <c r="J7" s="33">
        <f>AVERAGE(J28,J29,J30)</f>
        <v/>
      </c>
      <c r="K7" s="32">
        <f>L28+L29+L30</f>
        <v/>
      </c>
      <c r="L7" s="32">
        <f>N28+N29+N30</f>
        <v/>
      </c>
      <c r="M7" s="32">
        <f>O28+O29+O30</f>
        <v/>
      </c>
      <c r="N7" s="32">
        <f>P28+P29+P30</f>
        <v/>
      </c>
    </row>
    <row r="8" ht="32" customHeight="1">
      <c r="A8" s="10" t="n">
        <v>6</v>
      </c>
      <c r="B8" s="6" t="inlineStr">
        <is>
          <t>Acc_Alkylate</t>
        </is>
      </c>
      <c r="C8" s="7" t="inlineStr">
        <is>
          <t>Alkylate</t>
        </is>
      </c>
      <c r="D8" s="7" t="inlineStr">
        <is>
          <t>LF_005, TK31, TK43, TK64</t>
        </is>
      </c>
      <c r="E8" s="10" t="n">
        <v>4</v>
      </c>
      <c r="F8" s="32">
        <f>E33+E34+E35+E36</f>
        <v/>
      </c>
      <c r="G8" s="33">
        <f>AVERAGE(F33,F34,F35,F36)</f>
        <v/>
      </c>
      <c r="H8" s="32">
        <f>G33+G34+G35+G36</f>
        <v/>
      </c>
      <c r="I8" s="32">
        <f>H33+H34+H35+H36</f>
        <v/>
      </c>
      <c r="J8" s="33">
        <f>AVERAGE(J33,J34,J35,J36)</f>
        <v/>
      </c>
      <c r="K8" s="32">
        <f>L33+L34+L35+L36</f>
        <v/>
      </c>
      <c r="L8" s="32">
        <f>N33+N34+N35+N36</f>
        <v/>
      </c>
      <c r="M8" s="32">
        <f>O33+O34+O35+O36</f>
        <v/>
      </c>
      <c r="N8" s="32">
        <f>P33+P34+P35+P36</f>
        <v/>
      </c>
    </row>
    <row r="9" ht="32" customHeight="1">
      <c r="A9" s="17" t="n">
        <v>7</v>
      </c>
      <c r="B9" s="15" t="inlineStr">
        <is>
          <t>Acc_ChemPropylene</t>
        </is>
      </c>
      <c r="C9" s="16" t="inlineStr">
        <is>
          <t>Chemical Grade Propylene</t>
        </is>
      </c>
      <c r="D9" s="16" t="inlineStr">
        <is>
          <t>TK398, TK399</t>
        </is>
      </c>
      <c r="E9" s="17" t="n">
        <v>2</v>
      </c>
      <c r="F9" s="32">
        <f>E39+E40</f>
        <v/>
      </c>
      <c r="G9" s="33">
        <f>AVERAGE(F39,F40)</f>
        <v/>
      </c>
      <c r="H9" s="32">
        <f>G39+G40</f>
        <v/>
      </c>
      <c r="I9" s="32">
        <f>H39+H40</f>
        <v/>
      </c>
      <c r="J9" s="33">
        <f>AVERAGE(J39,J40)</f>
        <v/>
      </c>
      <c r="K9" s="32">
        <f>L39+L40</f>
        <v/>
      </c>
      <c r="L9" s="32">
        <f>N39+N40</f>
        <v/>
      </c>
      <c r="M9" s="32">
        <f>O39+O40</f>
        <v/>
      </c>
      <c r="N9" s="32">
        <f>P39+P40</f>
        <v/>
      </c>
    </row>
    <row r="10" ht="32" customHeight="1">
      <c r="A10" s="10" t="n">
        <v>8</v>
      </c>
      <c r="B10" s="6" t="inlineStr">
        <is>
          <t>Acc_Crude</t>
        </is>
      </c>
      <c r="C10" s="7" t="inlineStr">
        <is>
          <t>Crude Mix</t>
        </is>
      </c>
      <c r="D10" s="7" t="inlineStr">
        <is>
          <t>LF_004, TK13, TK16, TK17, TK18, TK2, TK3, TK5, TK6, TK8</t>
        </is>
      </c>
      <c r="E10" s="10" t="n">
        <v>10</v>
      </c>
      <c r="F10" s="32">
        <f>E43+E44+E45+E46+E47+E48+E49+E50+E51+E52</f>
        <v/>
      </c>
      <c r="G10" s="33">
        <f>AVERAGE(F43,F44,F45,F46,F47,F48,F49,F50,F51,F52)</f>
        <v/>
      </c>
      <c r="H10" s="32">
        <f>G43+G44+G45+G46+G47+G48+G49+G50+G51+G52</f>
        <v/>
      </c>
      <c r="I10" s="32">
        <f>H43+H44+H45+H46+H47+H48+H49+H50+H51+H52</f>
        <v/>
      </c>
      <c r="J10" s="33">
        <f>AVERAGE(J43,J44,J45,J46,J47,J48,J49,J50,J51,J52)</f>
        <v/>
      </c>
      <c r="K10" s="32">
        <f>L43+L44+L45+L46+L47+L48+L49+L50+L51+L52</f>
        <v/>
      </c>
      <c r="L10" s="32">
        <f>N43+N44+N45+N46+N47+N48+N49+N50+N51+N52</f>
        <v/>
      </c>
      <c r="M10" s="32">
        <f>O43+O44+O45+O46+O47+O48+O49+O50+O51+O52</f>
        <v/>
      </c>
      <c r="N10" s="32">
        <f>P43+P44+P45+P46+P47+P48+P49+P50+P51+P52</f>
        <v/>
      </c>
    </row>
    <row r="11" ht="32" customHeight="1">
      <c r="A11" s="17" t="n">
        <v>9</v>
      </c>
      <c r="B11" s="15" t="inlineStr">
        <is>
          <t>Acc_DistillateStock</t>
        </is>
      </c>
      <c r="C11" s="16" t="inlineStr">
        <is>
          <t>Distillate Stock</t>
        </is>
      </c>
      <c r="D11" s="16" t="inlineStr">
        <is>
          <t>TK957, TK958</t>
        </is>
      </c>
      <c r="E11" s="17" t="n">
        <v>2</v>
      </c>
      <c r="F11" s="32">
        <f>E55+E56</f>
        <v/>
      </c>
      <c r="G11" s="33">
        <f>AVERAGE(F55,F56)</f>
        <v/>
      </c>
      <c r="H11" s="32">
        <f>G55+G56</f>
        <v/>
      </c>
      <c r="I11" s="32">
        <f>H55+H56</f>
        <v/>
      </c>
      <c r="J11" s="33">
        <f>AVERAGE(J55,J56)</f>
        <v/>
      </c>
      <c r="K11" s="32">
        <f>L55+L56</f>
        <v/>
      </c>
      <c r="L11" s="32">
        <f>N55+N56</f>
        <v/>
      </c>
      <c r="M11" s="32">
        <f>O55+O56</f>
        <v/>
      </c>
      <c r="N11" s="32">
        <f>P55+P56</f>
        <v/>
      </c>
    </row>
    <row r="12" ht="32" customHeight="1">
      <c r="A12" s="10" t="n">
        <v>10</v>
      </c>
      <c r="B12" s="6" t="inlineStr">
        <is>
          <t>Acc_ExportDiesel</t>
        </is>
      </c>
      <c r="C12" s="7" t="inlineStr">
        <is>
          <t>Export Diesel</t>
        </is>
      </c>
      <c r="D12" s="7" t="inlineStr">
        <is>
          <t>TK56, TK57, TK58, TK59, TK60</t>
        </is>
      </c>
      <c r="E12" s="10" t="n">
        <v>5</v>
      </c>
      <c r="F12" s="32">
        <f>E59+E60+E61+E62+E63</f>
        <v/>
      </c>
      <c r="G12" s="33">
        <f>AVERAGE(F59,F60,F61,F62,F63)</f>
        <v/>
      </c>
      <c r="H12" s="32">
        <f>G59+G60+G61+G62+G63</f>
        <v/>
      </c>
      <c r="I12" s="32">
        <f>H59+H60+H61+H62+H63</f>
        <v/>
      </c>
      <c r="J12" s="33">
        <f>AVERAGE(J59,J60,J61,J62,J63)</f>
        <v/>
      </c>
      <c r="K12" s="32">
        <f>L59+L60+L61+L62+L63</f>
        <v/>
      </c>
      <c r="L12" s="32">
        <f>N59+N60+N61+N62+N63</f>
        <v/>
      </c>
      <c r="M12" s="32">
        <f>O59+O60+O61+O62+O63</f>
        <v/>
      </c>
      <c r="N12" s="32">
        <f>P59+P60+P61+P62+P63</f>
        <v/>
      </c>
    </row>
    <row r="13" ht="32" customHeight="1">
      <c r="A13" s="17" t="n">
        <v>11</v>
      </c>
      <c r="B13" s="15" t="inlineStr">
        <is>
          <t>Acc_FuelOilBlndStck</t>
        </is>
      </c>
      <c r="C13" s="16" t="inlineStr">
        <is>
          <t>Fuel Oil Blend Stock</t>
        </is>
      </c>
      <c r="D13" s="16" t="inlineStr">
        <is>
          <t>TK152, TK84</t>
        </is>
      </c>
      <c r="E13" s="17" t="n">
        <v>2</v>
      </c>
      <c r="F13" s="32">
        <f>E66+E67</f>
        <v/>
      </c>
      <c r="G13" s="33">
        <f>AVERAGE(F66,F67)</f>
        <v/>
      </c>
      <c r="H13" s="32">
        <f>G66+G67</f>
        <v/>
      </c>
      <c r="I13" s="32">
        <f>H66+H67</f>
        <v/>
      </c>
      <c r="J13" s="33">
        <f>AVERAGE(J66,J67)</f>
        <v/>
      </c>
      <c r="K13" s="32">
        <f>L66+L67</f>
        <v/>
      </c>
      <c r="L13" s="32">
        <f>N66+N67</f>
        <v/>
      </c>
      <c r="M13" s="32">
        <f>O66+O67</f>
        <v/>
      </c>
      <c r="N13" s="32">
        <f>P66+P67</f>
        <v/>
      </c>
    </row>
    <row r="14" ht="32" customHeight="1">
      <c r="A14" s="10" t="n">
        <v>12</v>
      </c>
      <c r="B14" s="6" t="inlineStr">
        <is>
          <t>Acc_HighSulSlurry</t>
        </is>
      </c>
      <c r="C14" s="7" t="inlineStr">
        <is>
          <t>High Sulfur Slurry</t>
        </is>
      </c>
      <c r="D14" s="7" t="inlineStr">
        <is>
          <t>TK22</t>
        </is>
      </c>
      <c r="E14" s="10" t="n">
        <v>1</v>
      </c>
      <c r="F14" s="32">
        <f>E70</f>
        <v/>
      </c>
      <c r="G14" s="33">
        <f>AVERAGE(F70)</f>
        <v/>
      </c>
      <c r="H14" s="32">
        <f>G70</f>
        <v/>
      </c>
      <c r="I14" s="32">
        <f>H70</f>
        <v/>
      </c>
      <c r="J14" s="33">
        <f>AVERAGE(J70)</f>
        <v/>
      </c>
      <c r="K14" s="32">
        <f>L70</f>
        <v/>
      </c>
      <c r="L14" s="32">
        <f>N70</f>
        <v/>
      </c>
      <c r="M14" s="32">
        <f>O70</f>
        <v/>
      </c>
      <c r="N14" s="32">
        <f>P70</f>
        <v/>
      </c>
    </row>
    <row r="15" ht="32" customHeight="1">
      <c r="A15" s="17" t="n">
        <v>13</v>
      </c>
      <c r="B15" s="15" t="inlineStr">
        <is>
          <t>Acc_HSFO</t>
        </is>
      </c>
      <c r="C15" s="16" t="inlineStr">
        <is>
          <t>High Sulfur Fuel Oil</t>
        </is>
      </c>
      <c r="D15" s="16" t="inlineStr">
        <is>
          <t>TK23</t>
        </is>
      </c>
      <c r="E15" s="17" t="n">
        <v>1</v>
      </c>
      <c r="F15" s="32">
        <f>E73</f>
        <v/>
      </c>
      <c r="G15" s="33">
        <f>AVERAGE(F73)</f>
        <v/>
      </c>
      <c r="H15" s="32">
        <f>G73</f>
        <v/>
      </c>
      <c r="I15" s="32">
        <f>H73</f>
        <v/>
      </c>
      <c r="J15" s="33">
        <f>AVERAGE(J73)</f>
        <v/>
      </c>
      <c r="K15" s="32">
        <f>L73</f>
        <v/>
      </c>
      <c r="L15" s="32">
        <f>N73</f>
        <v/>
      </c>
      <c r="M15" s="32">
        <f>O73</f>
        <v/>
      </c>
      <c r="N15" s="32">
        <f>P73</f>
        <v/>
      </c>
    </row>
    <row r="16" ht="32" customHeight="1">
      <c r="A16" s="10" t="n">
        <v>14</v>
      </c>
      <c r="B16" s="6" t="inlineStr">
        <is>
          <t>Acc_HSVGO</t>
        </is>
      </c>
      <c r="C16" s="7" t="inlineStr">
        <is>
          <t>High Sulfur Vaccum Gas Oil</t>
        </is>
      </c>
      <c r="D16" s="7" t="inlineStr">
        <is>
          <t>TK24, TK25, TK26, TK61</t>
        </is>
      </c>
      <c r="E16" s="10" t="n">
        <v>4</v>
      </c>
      <c r="F16" s="32">
        <f>E76+E77+E78+E79</f>
        <v/>
      </c>
      <c r="G16" s="33">
        <f>AVERAGE(F76,F77,F78,F79)</f>
        <v/>
      </c>
      <c r="H16" s="32">
        <f>G76+G77+G78+G79</f>
        <v/>
      </c>
      <c r="I16" s="32">
        <f>H76+H77+H78+H79</f>
        <v/>
      </c>
      <c r="J16" s="33">
        <f>AVERAGE(J76,J77,J78,J79)</f>
        <v/>
      </c>
      <c r="K16" s="32">
        <f>L76+L77+L78+L79</f>
        <v/>
      </c>
      <c r="L16" s="32">
        <f>N76+N77+N78+N79</f>
        <v/>
      </c>
      <c r="M16" s="32">
        <f>O76+O77+O78+O79</f>
        <v/>
      </c>
      <c r="N16" s="32">
        <f>P76+P77+P78+P79</f>
        <v/>
      </c>
    </row>
    <row r="17" ht="32" customHeight="1">
      <c r="A17" s="17" t="n">
        <v>15</v>
      </c>
      <c r="B17" s="15" t="inlineStr">
        <is>
          <t>Acc_HvyCatGasoline</t>
        </is>
      </c>
      <c r="C17" s="16" t="inlineStr">
        <is>
          <t>Heavy Cat Gasoline</t>
        </is>
      </c>
      <c r="D17" s="16" t="inlineStr">
        <is>
          <t>TK71</t>
        </is>
      </c>
      <c r="E17" s="17" t="n">
        <v>1</v>
      </c>
      <c r="F17" s="32">
        <f>E82</f>
        <v/>
      </c>
      <c r="G17" s="33">
        <f>AVERAGE(F82)</f>
        <v/>
      </c>
      <c r="H17" s="32">
        <f>G82</f>
        <v/>
      </c>
      <c r="I17" s="32">
        <f>H82</f>
        <v/>
      </c>
      <c r="J17" s="33">
        <f>AVERAGE(J82)</f>
        <v/>
      </c>
      <c r="K17" s="32">
        <f>L82</f>
        <v/>
      </c>
      <c r="L17" s="32">
        <f>N82</f>
        <v/>
      </c>
      <c r="M17" s="32">
        <f>O82</f>
        <v/>
      </c>
      <c r="N17" s="32">
        <f>P82</f>
        <v/>
      </c>
    </row>
    <row r="18" ht="32" customHeight="1">
      <c r="A18" s="10" t="n">
        <v>16</v>
      </c>
      <c r="B18" s="6" t="inlineStr">
        <is>
          <t>Acc_Isobutane</t>
        </is>
      </c>
      <c r="C18" s="7" t="inlineStr">
        <is>
          <t>Isobutane</t>
        </is>
      </c>
      <c r="D18" s="7" t="inlineStr">
        <is>
          <t>TK88, TK89</t>
        </is>
      </c>
      <c r="E18" s="10" t="n">
        <v>2</v>
      </c>
      <c r="F18" s="32">
        <f>E85+E86</f>
        <v/>
      </c>
      <c r="G18" s="33">
        <f>AVERAGE(F85,F86)</f>
        <v/>
      </c>
      <c r="H18" s="32">
        <f>G85+G86</f>
        <v/>
      </c>
      <c r="I18" s="32">
        <f>H85+H86</f>
        <v/>
      </c>
      <c r="J18" s="33">
        <f>AVERAGE(J85,J86)</f>
        <v/>
      </c>
      <c r="K18" s="32">
        <f>L85+L86</f>
        <v/>
      </c>
      <c r="L18" s="32">
        <f>N85+N86</f>
        <v/>
      </c>
      <c r="M18" s="32">
        <f>O85+O86</f>
        <v/>
      </c>
      <c r="N18" s="32">
        <f>P85+P86</f>
        <v/>
      </c>
    </row>
    <row r="19" ht="32" customHeight="1">
      <c r="A19" s="17" t="n">
        <v>17</v>
      </c>
      <c r="B19" s="15" t="inlineStr">
        <is>
          <t>Acc_Isomerate</t>
        </is>
      </c>
      <c r="C19" s="16" t="inlineStr">
        <is>
          <t>Isomerate</t>
        </is>
      </c>
      <c r="D19" s="16" t="inlineStr">
        <is>
          <t>TK69, TK70</t>
        </is>
      </c>
      <c r="E19" s="17" t="n">
        <v>2</v>
      </c>
      <c r="F19" s="32">
        <f>E89+E90</f>
        <v/>
      </c>
      <c r="G19" s="33">
        <f>AVERAGE(F89,F90)</f>
        <v/>
      </c>
      <c r="H19" s="32">
        <f>G89+G90</f>
        <v/>
      </c>
      <c r="I19" s="32">
        <f>H89+H90</f>
        <v/>
      </c>
      <c r="J19" s="33">
        <f>AVERAGE(J89,J90)</f>
        <v/>
      </c>
      <c r="K19" s="32">
        <f>L89+L90</f>
        <v/>
      </c>
      <c r="L19" s="32">
        <f>N89+N90</f>
        <v/>
      </c>
      <c r="M19" s="32">
        <f>O89+O90</f>
        <v/>
      </c>
      <c r="N19" s="32">
        <f>P89+P90</f>
        <v/>
      </c>
    </row>
    <row r="20" ht="32" customHeight="1">
      <c r="A20" s="10" t="n">
        <v>18</v>
      </c>
      <c r="B20" s="6" t="inlineStr">
        <is>
          <t>Acc_JetBlendstock</t>
        </is>
      </c>
      <c r="C20" s="7" t="inlineStr">
        <is>
          <t>Jet fuel Blendstock</t>
        </is>
      </c>
      <c r="D20" s="7" t="inlineStr">
        <is>
          <t>TK4</t>
        </is>
      </c>
      <c r="E20" s="10" t="n">
        <v>1</v>
      </c>
      <c r="F20" s="32">
        <f>E93</f>
        <v/>
      </c>
      <c r="G20" s="33">
        <f>AVERAGE(F93)</f>
        <v/>
      </c>
      <c r="H20" s="32">
        <f>G93</f>
        <v/>
      </c>
      <c r="I20" s="32">
        <f>H93</f>
        <v/>
      </c>
      <c r="J20" s="33">
        <f>AVERAGE(J93)</f>
        <v/>
      </c>
      <c r="K20" s="32">
        <f>L93</f>
        <v/>
      </c>
      <c r="L20" s="32">
        <f>N93</f>
        <v/>
      </c>
      <c r="M20" s="32">
        <f>O93</f>
        <v/>
      </c>
      <c r="N20" s="32">
        <f>P93</f>
        <v/>
      </c>
    </row>
    <row r="21" ht="32" customHeight="1">
      <c r="A21" s="17" t="n">
        <v>19</v>
      </c>
      <c r="B21" s="15" t="inlineStr">
        <is>
          <t>Acc_JetFuel</t>
        </is>
      </c>
      <c r="C21" s="16" t="inlineStr">
        <is>
          <t>Jet Fuel</t>
        </is>
      </c>
      <c r="D21" s="16" t="inlineStr">
        <is>
          <t>TK32, TK33, TK34, TK40, TK44, TK49</t>
        </is>
      </c>
      <c r="E21" s="17" t="n">
        <v>6</v>
      </c>
      <c r="F21" s="32">
        <f>E96+E97+E98+E99+E100+E101</f>
        <v/>
      </c>
      <c r="G21" s="33">
        <f>AVERAGE(F96,F97,F98,F99,F100,F101)</f>
        <v/>
      </c>
      <c r="H21" s="32">
        <f>G96+G97+G98+G99+G100+G101</f>
        <v/>
      </c>
      <c r="I21" s="32">
        <f>H96+H97+H98+H99+H100+H101</f>
        <v/>
      </c>
      <c r="J21" s="33">
        <f>AVERAGE(J96,J97,J98,J99,J100,J101)</f>
        <v/>
      </c>
      <c r="K21" s="32">
        <f>L96+L97+L98+L99+L100+L101</f>
        <v/>
      </c>
      <c r="L21" s="32">
        <f>N96+N97+N98+N99+N100+N101</f>
        <v/>
      </c>
      <c r="M21" s="32">
        <f>O96+O97+O98+O99+O100+O101</f>
        <v/>
      </c>
      <c r="N21" s="32">
        <f>P96+P97+P98+P99+P100+P101</f>
        <v/>
      </c>
    </row>
    <row r="22" ht="32" customHeight="1">
      <c r="A22" s="10" t="n">
        <v>20</v>
      </c>
      <c r="B22" s="6" t="inlineStr">
        <is>
          <t>Acc_KeroBlndStck</t>
        </is>
      </c>
      <c r="C22" s="7" t="inlineStr">
        <is>
          <t>Unfinished Kerosene Blendstock</t>
        </is>
      </c>
      <c r="D22" s="7" t="inlineStr">
        <is>
          <t>TK35, TK773, TK96, TK97</t>
        </is>
      </c>
      <c r="E22" s="10" t="n">
        <v>4</v>
      </c>
      <c r="F22" s="32">
        <f>E104+E105+E106+E107</f>
        <v/>
      </c>
      <c r="G22" s="33">
        <f>AVERAGE(F104,F105,F106,F107)</f>
        <v/>
      </c>
      <c r="H22" s="32">
        <f>G104+G105+G106+G107</f>
        <v/>
      </c>
      <c r="I22" s="32">
        <f>H104+H105+H106+H107</f>
        <v/>
      </c>
      <c r="J22" s="33">
        <f>AVERAGE(J104,J105,J106,J107)</f>
        <v/>
      </c>
      <c r="K22" s="32">
        <f>L104+L105+L106+L107</f>
        <v/>
      </c>
      <c r="L22" s="32">
        <f>N104+N105+N106+N107</f>
        <v/>
      </c>
      <c r="M22" s="32">
        <f>O104+O105+O106+O107</f>
        <v/>
      </c>
      <c r="N22" s="32">
        <f>P104+P105+P106+P107</f>
        <v/>
      </c>
    </row>
    <row r="23" ht="32" customHeight="1">
      <c r="A23" s="17" t="n">
        <v>21</v>
      </c>
      <c r="B23" s="15" t="inlineStr">
        <is>
          <t>Acc_LCO</t>
        </is>
      </c>
      <c r="C23" s="16" t="inlineStr">
        <is>
          <t>Light Cycle Oil</t>
        </is>
      </c>
      <c r="D23" s="16" t="inlineStr">
        <is>
          <t>TK968</t>
        </is>
      </c>
      <c r="E23" s="17" t="n">
        <v>1</v>
      </c>
      <c r="F23" s="32">
        <f>E110</f>
        <v/>
      </c>
      <c r="G23" s="33">
        <f>AVERAGE(F110)</f>
        <v/>
      </c>
      <c r="H23" s="32">
        <f>G110</f>
        <v/>
      </c>
      <c r="I23" s="32">
        <f>H110</f>
        <v/>
      </c>
      <c r="J23" s="33">
        <f>AVERAGE(J110)</f>
        <v/>
      </c>
      <c r="K23" s="32">
        <f>L110</f>
        <v/>
      </c>
      <c r="L23" s="32">
        <f>N110</f>
        <v/>
      </c>
      <c r="M23" s="32">
        <f>O110</f>
        <v/>
      </c>
      <c r="N23" s="32">
        <f>P110</f>
        <v/>
      </c>
    </row>
    <row r="24" ht="32" customHeight="1">
      <c r="A24" s="10" t="n">
        <v>22</v>
      </c>
      <c r="B24" s="6" t="inlineStr">
        <is>
          <t>Acc_LNaphtha</t>
        </is>
      </c>
      <c r="C24" s="7" t="inlineStr">
        <is>
          <t>Light Naphtha</t>
        </is>
      </c>
      <c r="D24" s="7" t="inlineStr">
        <is>
          <t>TK93</t>
        </is>
      </c>
      <c r="E24" s="10" t="n">
        <v>1</v>
      </c>
      <c r="F24" s="32">
        <f>E113</f>
        <v/>
      </c>
      <c r="G24" s="33">
        <f>AVERAGE(F113)</f>
        <v/>
      </c>
      <c r="H24" s="32">
        <f>G113</f>
        <v/>
      </c>
      <c r="I24" s="32">
        <f>H113</f>
        <v/>
      </c>
      <c r="J24" s="33">
        <f>AVERAGE(J113)</f>
        <v/>
      </c>
      <c r="K24" s="32">
        <f>L113</f>
        <v/>
      </c>
      <c r="L24" s="32">
        <f>N113</f>
        <v/>
      </c>
      <c r="M24" s="32">
        <f>O113</f>
        <v/>
      </c>
      <c r="N24" s="32">
        <f>P113</f>
        <v/>
      </c>
    </row>
    <row r="25" ht="32" customHeight="1">
      <c r="A25" s="17" t="n">
        <v>23</v>
      </c>
      <c r="B25" s="15" t="inlineStr">
        <is>
          <t>Acc_LowSulSlurry</t>
        </is>
      </c>
      <c r="C25" s="16" t="inlineStr">
        <is>
          <t>Low Sulfur Slurry</t>
        </is>
      </c>
      <c r="D25" s="16" t="inlineStr">
        <is>
          <t>TK11</t>
        </is>
      </c>
      <c r="E25" s="17" t="n">
        <v>1</v>
      </c>
      <c r="F25" s="32">
        <f>E116</f>
        <v/>
      </c>
      <c r="G25" s="33">
        <f>AVERAGE(F116)</f>
        <v/>
      </c>
      <c r="H25" s="32">
        <f>G116</f>
        <v/>
      </c>
      <c r="I25" s="32">
        <f>H116</f>
        <v/>
      </c>
      <c r="J25" s="33">
        <f>AVERAGE(J116)</f>
        <v/>
      </c>
      <c r="K25" s="32">
        <f>L116</f>
        <v/>
      </c>
      <c r="L25" s="32">
        <f>N116</f>
        <v/>
      </c>
      <c r="M25" s="32">
        <f>O116</f>
        <v/>
      </c>
      <c r="N25" s="32">
        <f>P116</f>
        <v/>
      </c>
    </row>
    <row r="26" ht="32" customHeight="1">
      <c r="A26" s="10" t="n">
        <v>24</v>
      </c>
      <c r="B26" s="6" t="inlineStr">
        <is>
          <t>Acc_LSVGO</t>
        </is>
      </c>
      <c r="C26" s="7" t="inlineStr">
        <is>
          <t>Low Sulfur Vacuum Gas Oil</t>
        </is>
      </c>
      <c r="D26" s="7" t="inlineStr">
        <is>
          <t>TK14, TK502, TK956, TK959</t>
        </is>
      </c>
      <c r="E26" s="10" t="n">
        <v>4</v>
      </c>
      <c r="F26" s="32">
        <f>E119+E120+E121+E122</f>
        <v/>
      </c>
      <c r="G26" s="33">
        <f>AVERAGE(F119,F120,F121,F122)</f>
        <v/>
      </c>
      <c r="H26" s="32">
        <f>G119+G120+G121+G122</f>
        <v/>
      </c>
      <c r="I26" s="32">
        <f>H119+H120+H121+H122</f>
        <v/>
      </c>
      <c r="J26" s="33">
        <f>AVERAGE(J119,J120,J121,J122)</f>
        <v/>
      </c>
      <c r="K26" s="32">
        <f>L119+L120+L121+L122</f>
        <v/>
      </c>
      <c r="L26" s="32">
        <f>N119+N120+N121+N122</f>
        <v/>
      </c>
      <c r="M26" s="32">
        <f>O119+O120+O121+O122</f>
        <v/>
      </c>
      <c r="N26" s="32">
        <f>P119+P120+P121+P122</f>
        <v/>
      </c>
    </row>
    <row r="27" ht="32" customHeight="1">
      <c r="A27" s="17" t="n">
        <v>25</v>
      </c>
      <c r="B27" s="15" t="inlineStr">
        <is>
          <t>Acc_LtCatGasoline</t>
        </is>
      </c>
      <c r="C27" s="16" t="inlineStr">
        <is>
          <t>Light Cat Gasoline</t>
        </is>
      </c>
      <c r="D27" s="16" t="inlineStr">
        <is>
          <t>TK68</t>
        </is>
      </c>
      <c r="E27" s="17" t="n">
        <v>1</v>
      </c>
      <c r="F27" s="32">
        <f>E125</f>
        <v/>
      </c>
      <c r="G27" s="33">
        <f>AVERAGE(F125)</f>
        <v/>
      </c>
      <c r="H27" s="32">
        <f>G125</f>
        <v/>
      </c>
      <c r="I27" s="32">
        <f>H125</f>
        <v/>
      </c>
      <c r="J27" s="33">
        <f>AVERAGE(J125)</f>
        <v/>
      </c>
      <c r="K27" s="32">
        <f>L125</f>
        <v/>
      </c>
      <c r="L27" s="32">
        <f>N125</f>
        <v/>
      </c>
      <c r="M27" s="32">
        <f>O125</f>
        <v/>
      </c>
      <c r="N27" s="32">
        <f>P125</f>
        <v/>
      </c>
    </row>
    <row r="28" ht="32" customHeight="1">
      <c r="A28" s="10" t="n">
        <v>26</v>
      </c>
      <c r="B28" s="6" t="inlineStr">
        <is>
          <t>Acc_MedCatGasoline</t>
        </is>
      </c>
      <c r="C28" s="7" t="inlineStr">
        <is>
          <t>Medium Cat Gasoline</t>
        </is>
      </c>
      <c r="D28" s="7" t="inlineStr">
        <is>
          <t>TK66</t>
        </is>
      </c>
      <c r="E28" s="10" t="n">
        <v>1</v>
      </c>
      <c r="F28" s="32">
        <f>E128</f>
        <v/>
      </c>
      <c r="G28" s="33">
        <f>AVERAGE(F128)</f>
        <v/>
      </c>
      <c r="H28" s="32">
        <f>G128</f>
        <v/>
      </c>
      <c r="I28" s="32">
        <f>H128</f>
        <v/>
      </c>
      <c r="J28" s="33">
        <f>AVERAGE(J128)</f>
        <v/>
      </c>
      <c r="K28" s="32">
        <f>L128</f>
        <v/>
      </c>
      <c r="L28" s="32">
        <f>N128</f>
        <v/>
      </c>
      <c r="M28" s="32">
        <f>O128</f>
        <v/>
      </c>
      <c r="N28" s="32">
        <f>P128</f>
        <v/>
      </c>
    </row>
    <row r="29" ht="32" customHeight="1">
      <c r="A29" s="17" t="n">
        <v>27</v>
      </c>
      <c r="B29" s="15" t="inlineStr">
        <is>
          <t>Acc_MixedButane</t>
        </is>
      </c>
      <c r="C29" s="16" t="inlineStr">
        <is>
          <t>Mixed Butane</t>
        </is>
      </c>
      <c r="D29" s="16" t="inlineStr">
        <is>
          <t>TK683, TK73</t>
        </is>
      </c>
      <c r="E29" s="17" t="n">
        <v>2</v>
      </c>
      <c r="F29" s="32">
        <f>E131+E132</f>
        <v/>
      </c>
      <c r="G29" s="33">
        <f>AVERAGE(F131,F132)</f>
        <v/>
      </c>
      <c r="H29" s="32">
        <f>G131+G132</f>
        <v/>
      </c>
      <c r="I29" s="32">
        <f>H131+H132</f>
        <v/>
      </c>
      <c r="J29" s="33">
        <f>AVERAGE(J131,J132)</f>
        <v/>
      </c>
      <c r="K29" s="32">
        <f>L131+L132</f>
        <v/>
      </c>
      <c r="L29" s="32">
        <f>N131+N132</f>
        <v/>
      </c>
      <c r="M29" s="32">
        <f>O131+O132</f>
        <v/>
      </c>
      <c r="N29" s="32">
        <f>P131+P132</f>
        <v/>
      </c>
    </row>
    <row r="30" ht="32" customHeight="1">
      <c r="A30" s="10" t="n">
        <v>28</v>
      </c>
      <c r="B30" s="6" t="inlineStr">
        <is>
          <t>Acc_MixedPentane</t>
        </is>
      </c>
      <c r="C30" s="7" t="inlineStr">
        <is>
          <t>Mixed Pentanes</t>
        </is>
      </c>
      <c r="D30" s="7" t="inlineStr">
        <is>
          <t>TK138, TK139, TK684</t>
        </is>
      </c>
      <c r="E30" s="10" t="n">
        <v>3</v>
      </c>
      <c r="F30" s="32">
        <f>E135+E136+E137</f>
        <v/>
      </c>
      <c r="G30" s="33">
        <f>AVERAGE(F135,F136,F137)</f>
        <v/>
      </c>
      <c r="H30" s="32">
        <f>G135+G136+G137</f>
        <v/>
      </c>
      <c r="I30" s="32">
        <f>H135+H136+H137</f>
        <v/>
      </c>
      <c r="J30" s="33">
        <f>AVERAGE(J135,J136,J137)</f>
        <v/>
      </c>
      <c r="K30" s="32">
        <f>L135+L136+L137</f>
        <v/>
      </c>
      <c r="L30" s="32">
        <f>N135+N136+N137</f>
        <v/>
      </c>
      <c r="M30" s="32">
        <f>O135+O136+O137</f>
        <v/>
      </c>
      <c r="N30" s="32">
        <f>P135+P136+P137</f>
        <v/>
      </c>
    </row>
    <row r="31" ht="32" customHeight="1">
      <c r="A31" s="17" t="n">
        <v>29</v>
      </c>
      <c r="B31" s="15" t="inlineStr">
        <is>
          <t>Acc_MoltenSulfur</t>
        </is>
      </c>
      <c r="C31" s="16" t="inlineStr">
        <is>
          <t>Molten Sulfur</t>
        </is>
      </c>
      <c r="D31" s="16" t="inlineStr">
        <is>
          <t>TK619</t>
        </is>
      </c>
      <c r="E31" s="17" t="n">
        <v>1</v>
      </c>
      <c r="F31" s="32">
        <f>E140</f>
        <v/>
      </c>
      <c r="G31" s="33">
        <f>AVERAGE(F140)</f>
        <v/>
      </c>
      <c r="H31" s="32">
        <f>G140</f>
        <v/>
      </c>
      <c r="I31" s="32">
        <f>H140</f>
        <v/>
      </c>
      <c r="J31" s="33">
        <f>AVERAGE(J140)</f>
        <v/>
      </c>
      <c r="K31" s="32">
        <f>L140</f>
        <v/>
      </c>
      <c r="L31" s="32">
        <f>N140</f>
        <v/>
      </c>
      <c r="M31" s="32">
        <f>O140</f>
        <v/>
      </c>
      <c r="N31" s="32">
        <f>P140</f>
        <v/>
      </c>
    </row>
    <row r="32" ht="32" customHeight="1">
      <c r="A32" s="10" t="n">
        <v>30</v>
      </c>
      <c r="B32" s="6" t="inlineStr">
        <is>
          <t>Acc_NormalButane</t>
        </is>
      </c>
      <c r="C32" s="7" t="inlineStr">
        <is>
          <t>Normal Butane</t>
        </is>
      </c>
      <c r="D32" s="7" t="inlineStr">
        <is>
          <t>LF_002, TK79, TK86, TK87</t>
        </is>
      </c>
      <c r="E32" s="10" t="n">
        <v>4</v>
      </c>
      <c r="F32" s="32">
        <f>E143+E144+E145+E146</f>
        <v/>
      </c>
      <c r="G32" s="33">
        <f>AVERAGE(F143,F144,F145,F146)</f>
        <v/>
      </c>
      <c r="H32" s="32">
        <f>G143+G144+G145+G146</f>
        <v/>
      </c>
      <c r="I32" s="32">
        <f>H143+H144+H145+H146</f>
        <v/>
      </c>
      <c r="J32" s="33">
        <f>AVERAGE(J143,J144,J145,J146)</f>
        <v/>
      </c>
      <c r="K32" s="32">
        <f>L143+L144+L145+L146</f>
        <v/>
      </c>
      <c r="L32" s="32">
        <f>N143+N144+N145+N146</f>
        <v/>
      </c>
      <c r="M32" s="32">
        <f>O143+O144+O145+O146</f>
        <v/>
      </c>
      <c r="N32" s="32">
        <f>P143+P144+P145+P146</f>
        <v/>
      </c>
    </row>
    <row r="33" ht="32" customHeight="1">
      <c r="A33" s="17" t="n">
        <v>31</v>
      </c>
      <c r="B33" s="15" t="inlineStr">
        <is>
          <t>Acc_OOS</t>
        </is>
      </c>
      <c r="C33" s="16" t="inlineStr">
        <is>
          <t>Out of Service</t>
        </is>
      </c>
      <c r="D33" s="16" t="inlineStr">
        <is>
          <t>TK155, TK157, TK187, TK289, TK355, TK42, TK620, TK776, TK905</t>
        </is>
      </c>
      <c r="E33" s="17" t="n">
        <v>9</v>
      </c>
      <c r="F33" s="32">
        <f>E149+E150+E151+E152+E153+E154+E155+E156+E157</f>
        <v/>
      </c>
      <c r="G33" s="33">
        <f>AVERAGE(F149,F150,F151,F152,F153,F154,F155,F156,F157)</f>
        <v/>
      </c>
      <c r="H33" s="32">
        <f>G149+G150+G151+G152+G153+G154+G155+G156+G157</f>
        <v/>
      </c>
      <c r="I33" s="32">
        <f>H149+H150+H151+H152+H153+H154+H155+H156+H157</f>
        <v/>
      </c>
      <c r="J33" s="33">
        <f>AVERAGE(J149,J150,J151,J152,J153,J154,J155,J156,J157)</f>
        <v/>
      </c>
      <c r="K33" s="32">
        <f>L149+L150+L151+L152+L153+L154+L155+L156+L157</f>
        <v/>
      </c>
      <c r="L33" s="32">
        <f>N149+N150+N151+N152+N153+N154+N155+N156+N157</f>
        <v/>
      </c>
      <c r="M33" s="32">
        <f>O149+O150+O151+O152+O153+O154+O155+O156+O157</f>
        <v/>
      </c>
      <c r="N33" s="32">
        <f>P149+P150+P151+P152+P153+P154+P155+P156+P157</f>
        <v/>
      </c>
    </row>
    <row r="34" ht="32" customHeight="1">
      <c r="A34" s="10" t="n">
        <v>32</v>
      </c>
      <c r="B34" s="6" t="inlineStr">
        <is>
          <t>Acc_PetCoke</t>
        </is>
      </c>
      <c r="C34" s="7" t="inlineStr">
        <is>
          <t>Petroleum Coke</t>
        </is>
      </c>
      <c r="D34" s="7" t="inlineStr">
        <is>
          <t>TK_Coke</t>
        </is>
      </c>
      <c r="E34" s="10" t="n">
        <v>1</v>
      </c>
      <c r="F34" s="32">
        <f>E160</f>
        <v/>
      </c>
      <c r="G34" s="33">
        <f>AVERAGE(F160)</f>
        <v/>
      </c>
      <c r="H34" s="32">
        <f>G160</f>
        <v/>
      </c>
      <c r="I34" s="32">
        <f>H160</f>
        <v/>
      </c>
      <c r="J34" s="33">
        <f>AVERAGE(J160)</f>
        <v/>
      </c>
      <c r="K34" s="32">
        <f>L160</f>
        <v/>
      </c>
      <c r="L34" s="32">
        <f>N160</f>
        <v/>
      </c>
      <c r="M34" s="32">
        <f>O160</f>
        <v/>
      </c>
      <c r="N34" s="32">
        <f>P160</f>
        <v/>
      </c>
    </row>
    <row r="35" ht="32" customHeight="1">
      <c r="A35" s="17" t="n">
        <v>33</v>
      </c>
      <c r="B35" s="15" t="inlineStr">
        <is>
          <t>Acc_Reformate</t>
        </is>
      </c>
      <c r="C35" s="16" t="inlineStr">
        <is>
          <t>Reformate</t>
        </is>
      </c>
      <c r="D35" s="16" t="inlineStr">
        <is>
          <t>TK62, TK63</t>
        </is>
      </c>
      <c r="E35" s="17" t="n">
        <v>2</v>
      </c>
      <c r="F35" s="32">
        <f>E163+E164</f>
        <v/>
      </c>
      <c r="G35" s="33">
        <f>AVERAGE(F163,F164)</f>
        <v/>
      </c>
      <c r="H35" s="32">
        <f>G163+G164</f>
        <v/>
      </c>
      <c r="I35" s="32">
        <f>H163+H164</f>
        <v/>
      </c>
      <c r="J35" s="33">
        <f>AVERAGE(J163,J164)</f>
        <v/>
      </c>
      <c r="K35" s="32">
        <f>L163+L164</f>
        <v/>
      </c>
      <c r="L35" s="32">
        <f>N163+N164</f>
        <v/>
      </c>
      <c r="M35" s="32">
        <f>O163+O164</f>
        <v/>
      </c>
      <c r="N35" s="32">
        <f>P163+P164</f>
        <v/>
      </c>
    </row>
    <row r="36" ht="32" customHeight="1">
      <c r="A36" s="10" t="n">
        <v>34</v>
      </c>
      <c r="B36" s="6" t="inlineStr">
        <is>
          <t>Acc_RefPropylene</t>
        </is>
      </c>
      <c r="C36" s="7" t="inlineStr">
        <is>
          <t>Refinery Grade Propylene</t>
        </is>
      </c>
      <c r="D36" s="7" t="inlineStr">
        <is>
          <t>TK350, TK351, TK352, TK353</t>
        </is>
      </c>
      <c r="E36" s="10" t="n">
        <v>4</v>
      </c>
      <c r="F36" s="32">
        <f>E167+E168+E169+E170</f>
        <v/>
      </c>
      <c r="G36" s="33">
        <f>AVERAGE(F167,F168,F169,F170)</f>
        <v/>
      </c>
      <c r="H36" s="32">
        <f>G167+G168+G169+G170</f>
        <v/>
      </c>
      <c r="I36" s="32">
        <f>H167+H168+H169+H170</f>
        <v/>
      </c>
      <c r="J36" s="33">
        <f>AVERAGE(J167,J168,J169,J170)</f>
        <v/>
      </c>
      <c r="K36" s="32">
        <f>L167+L168+L169+L170</f>
        <v/>
      </c>
      <c r="L36" s="32">
        <f>N167+N168+N169+N170</f>
        <v/>
      </c>
      <c r="M36" s="32">
        <f>O167+O168+O169+O170</f>
        <v/>
      </c>
      <c r="N36" s="32">
        <f>P167+P168+P169+P170</f>
        <v/>
      </c>
    </row>
    <row r="37" ht="32" customHeight="1">
      <c r="A37" s="17" t="n">
        <v>35</v>
      </c>
      <c r="B37" s="15" t="inlineStr">
        <is>
          <t>Acc_RenewDiesel</t>
        </is>
      </c>
      <c r="C37" s="16" t="inlineStr">
        <is>
          <t>Renewable Diesel Consumption</t>
        </is>
      </c>
      <c r="D37" s="16" t="inlineStr">
        <is>
          <t>TK36, TK37, TK39</t>
        </is>
      </c>
      <c r="E37" s="17" t="n">
        <v>3</v>
      </c>
      <c r="F37" s="32">
        <f>E173+E174+E175</f>
        <v/>
      </c>
      <c r="G37" s="33">
        <f>AVERAGE(F173,F174,F175)</f>
        <v/>
      </c>
      <c r="H37" s="32">
        <f>G173+G174+G175</f>
        <v/>
      </c>
      <c r="I37" s="32">
        <f>H173+H174+H175</f>
        <v/>
      </c>
      <c r="J37" s="33">
        <f>AVERAGE(J173,J174,J175)</f>
        <v/>
      </c>
      <c r="K37" s="32">
        <f>L173+L174+L175</f>
        <v/>
      </c>
      <c r="L37" s="32">
        <f>N173+N174+N175</f>
        <v/>
      </c>
      <c r="M37" s="32">
        <f>O173+O174+O175</f>
        <v/>
      </c>
      <c r="N37" s="32">
        <f>P173+P174+P175</f>
        <v/>
      </c>
    </row>
    <row r="38" ht="32" customHeight="1">
      <c r="A38" s="10" t="n">
        <v>36</v>
      </c>
      <c r="B38" s="6" t="inlineStr">
        <is>
          <t>Acc_RenewNaph</t>
        </is>
      </c>
      <c r="C38" s="7" t="inlineStr">
        <is>
          <t>Renewable Naphtha Consumption</t>
        </is>
      </c>
      <c r="D38" s="7" t="inlineStr">
        <is>
          <t>TK27, TK28</t>
        </is>
      </c>
      <c r="E38" s="10" t="n">
        <v>2</v>
      </c>
      <c r="F38" s="32">
        <f>E178+E179</f>
        <v/>
      </c>
      <c r="G38" s="33">
        <f>AVERAGE(F178,F179)</f>
        <v/>
      </c>
      <c r="H38" s="32">
        <f>G178+G179</f>
        <v/>
      </c>
      <c r="I38" s="32">
        <f>H178+H179</f>
        <v/>
      </c>
      <c r="J38" s="33">
        <f>AVERAGE(J178,J179)</f>
        <v/>
      </c>
      <c r="K38" s="32">
        <f>L178+L179</f>
        <v/>
      </c>
      <c r="L38" s="32">
        <f>N178+N179</f>
        <v/>
      </c>
      <c r="M38" s="32">
        <f>O178+O179</f>
        <v/>
      </c>
      <c r="N38" s="32">
        <f>P178+P179</f>
        <v/>
      </c>
    </row>
    <row r="39" ht="32" customHeight="1">
      <c r="A39" s="17" t="n">
        <v>37</v>
      </c>
      <c r="B39" s="15" t="inlineStr">
        <is>
          <t>Acc_SlopOil</t>
        </is>
      </c>
      <c r="C39" s="16" t="inlineStr">
        <is>
          <t>Slop Oil</t>
        </is>
      </c>
      <c r="D39" s="16" t="inlineStr">
        <is>
          <t>TK1, TK101, TK102, TK103, TK12, TK154, TK164, TK188, TK189, TK190, TK194, TK284, TK426, TK614, TK700, TK777, TK778</t>
        </is>
      </c>
      <c r="E39" s="17" t="n">
        <v>17</v>
      </c>
      <c r="F39" s="32">
        <f>E182+E183+E184+E185+E186+E187+E188+E189+E190+E191+E192+E193+E194+E195+E196+E197+E198</f>
        <v/>
      </c>
      <c r="G39" s="33">
        <f>AVERAGE(F182,F183,F184,F185,F186,F187,F188,F189,F190,F191,F192,F193,F194,F195,F196,F197,F198)</f>
        <v/>
      </c>
      <c r="H39" s="32">
        <f>G182+G183+G184+G185+G186+G187+G188+G189+G190+G191+G192+G193+G194+G195+G196+G197+G198</f>
        <v/>
      </c>
      <c r="I39" s="32">
        <f>H182+H183+H184+H185+H186+H187+H188+H189+H190+H191+H192+H193+H194+H195+H196+H197+H198</f>
        <v/>
      </c>
      <c r="J39" s="33">
        <f>AVERAGE(J182,J183,J184,J185,J186,J187,J188,J189,J190,J191,J192,J193,J194,J195,J196,J197,J198)</f>
        <v/>
      </c>
      <c r="K39" s="32">
        <f>L182+L183+L184+L185+L186+L187+L188+L189+L190+L191+L192+L193+L194+L195+L196+L197+L198</f>
        <v/>
      </c>
      <c r="L39" s="32">
        <f>N182+N183+N184+N185+N186+N187+N188+N189+N190+N191+N192+N193+N194+N195+N196+N197+N198</f>
        <v/>
      </c>
      <c r="M39" s="32">
        <f>O182+O183+O184+O185+O186+O187+O188+O189+O190+O191+O192+O193+O194+O195+O196+O197+O198</f>
        <v/>
      </c>
      <c r="N39" s="32">
        <f>P182+P183+P184+P185+P186+P187+P188+P189+P190+P191+P192+P193+P194+P195+P196+P197+P198</f>
        <v/>
      </c>
    </row>
    <row r="40" ht="32" customHeight="1">
      <c r="A40" s="10" t="n">
        <v>38</v>
      </c>
      <c r="B40" s="6" t="inlineStr">
        <is>
          <t>Acc_SourNaph</t>
        </is>
      </c>
      <c r="C40" s="7" t="inlineStr">
        <is>
          <t>Sour Naphtha</t>
        </is>
      </c>
      <c r="D40" s="7" t="inlineStr">
        <is>
          <t>TK681, TK90, TK91, TK969</t>
        </is>
      </c>
      <c r="E40" s="10" t="n">
        <v>4</v>
      </c>
      <c r="F40" s="32">
        <f>E201+E202+E203+E204</f>
        <v/>
      </c>
      <c r="G40" s="33">
        <f>AVERAGE(F201,F202,F203,F204)</f>
        <v/>
      </c>
      <c r="H40" s="32">
        <f>G201+G202+G203+G204</f>
        <v/>
      </c>
      <c r="I40" s="32">
        <f>H201+H202+H203+H204</f>
        <v/>
      </c>
      <c r="J40" s="33">
        <f>AVERAGE(J201,J202,J203,J204)</f>
        <v/>
      </c>
      <c r="K40" s="32">
        <f>L201+L202+L203+L204</f>
        <v/>
      </c>
      <c r="L40" s="32">
        <f>N201+N202+N203+N204</f>
        <v/>
      </c>
      <c r="M40" s="32">
        <f>O201+O202+O203+O204</f>
        <v/>
      </c>
      <c r="N40" s="32">
        <f>P201+P202+P203+P204</f>
        <v/>
      </c>
    </row>
    <row r="41" ht="32" customHeight="1">
      <c r="A41" s="17" t="n">
        <v>39</v>
      </c>
      <c r="B41" s="15" t="inlineStr">
        <is>
          <t>Acc_SRNaphtha</t>
        </is>
      </c>
      <c r="C41" s="16" t="inlineStr">
        <is>
          <t>Straight Run Naphtha</t>
        </is>
      </c>
      <c r="D41" s="16" t="inlineStr">
        <is>
          <t>TK74, TK75, TK955</t>
        </is>
      </c>
      <c r="E41" s="17" t="n">
        <v>3</v>
      </c>
      <c r="F41" s="32">
        <f>E207+E208+E209</f>
        <v/>
      </c>
      <c r="G41" s="33">
        <f>AVERAGE(F207,F208,F209)</f>
        <v/>
      </c>
      <c r="H41" s="32">
        <f>G207+G208+G209</f>
        <v/>
      </c>
      <c r="I41" s="32">
        <f>H207+H208+H209</f>
        <v/>
      </c>
      <c r="J41" s="33">
        <f>AVERAGE(J207,J208,J209)</f>
        <v/>
      </c>
      <c r="K41" s="32">
        <f>L207+L208+L209</f>
        <v/>
      </c>
      <c r="L41" s="32">
        <f>N207+N208+N209</f>
        <v/>
      </c>
      <c r="M41" s="32">
        <f>O207+O208+O209</f>
        <v/>
      </c>
      <c r="N41" s="32">
        <f>P207+P208+P209</f>
        <v/>
      </c>
    </row>
    <row r="42" ht="32" customHeight="1">
      <c r="A42" s="10" t="n">
        <v>40</v>
      </c>
      <c r="B42" s="6" t="inlineStr">
        <is>
          <t>Acc_SweetNaph</t>
        </is>
      </c>
      <c r="C42" s="7" t="inlineStr">
        <is>
          <t>Sweet Naphtha</t>
        </is>
      </c>
      <c r="D42" s="7" t="inlineStr">
        <is>
          <t>TK67</t>
        </is>
      </c>
      <c r="E42" s="10" t="n">
        <v>1</v>
      </c>
      <c r="F42" s="32">
        <f>E212</f>
        <v/>
      </c>
      <c r="G42" s="33">
        <f>AVERAGE(F212)</f>
        <v/>
      </c>
      <c r="H42" s="32">
        <f>G212</f>
        <v/>
      </c>
      <c r="I42" s="32">
        <f>H212</f>
        <v/>
      </c>
      <c r="J42" s="33">
        <f>AVERAGE(J212)</f>
        <v/>
      </c>
      <c r="K42" s="32">
        <f>L212</f>
        <v/>
      </c>
      <c r="L42" s="32">
        <f>N212</f>
        <v/>
      </c>
      <c r="M42" s="32">
        <f>O212</f>
        <v/>
      </c>
      <c r="N42" s="32">
        <f>P212</f>
        <v/>
      </c>
    </row>
    <row r="43" ht="32" customHeight="1">
      <c r="A43" s="17" t="n">
        <v>41</v>
      </c>
      <c r="B43" s="15" t="inlineStr">
        <is>
          <t>Acc_Transmix</t>
        </is>
      </c>
      <c r="C43" s="16" t="inlineStr">
        <is>
          <t>Transmix</t>
        </is>
      </c>
      <c r="D43" s="16" t="inlineStr">
        <is>
          <t>TK191, TK192, TK29, TK30</t>
        </is>
      </c>
      <c r="E43" s="17" t="n">
        <v>4</v>
      </c>
      <c r="F43" s="32">
        <f>E215+E216+E217+E218</f>
        <v/>
      </c>
      <c r="G43" s="33">
        <f>AVERAGE(F215,F216,F217,F218)</f>
        <v/>
      </c>
      <c r="H43" s="32">
        <f>G215+G216+G217+G218</f>
        <v/>
      </c>
      <c r="I43" s="32">
        <f>H215+H216+H217+H218</f>
        <v/>
      </c>
      <c r="J43" s="33">
        <f>AVERAGE(J215,J216,J217,J218)</f>
        <v/>
      </c>
      <c r="K43" s="32">
        <f>L215+L216+L217+L218</f>
        <v/>
      </c>
      <c r="L43" s="32">
        <f>N215+N216+N217+N218</f>
        <v/>
      </c>
      <c r="M43" s="32">
        <f>O215+O216+O217+O218</f>
        <v/>
      </c>
      <c r="N43" s="32">
        <f>P215+P216+P217+P218</f>
        <v/>
      </c>
    </row>
    <row r="44" ht="32" customHeight="1">
      <c r="A44" s="10" t="n">
        <v>42</v>
      </c>
      <c r="B44" s="6" t="inlineStr">
        <is>
          <t>Acc_ULSD2</t>
        </is>
      </c>
      <c r="C44" s="7" t="inlineStr">
        <is>
          <t>ULSD No 2</t>
        </is>
      </c>
      <c r="D44" s="7" t="inlineStr">
        <is>
          <t>LF_003</t>
        </is>
      </c>
      <c r="E44" s="10" t="n">
        <v>1</v>
      </c>
      <c r="F44" s="32">
        <f>E221</f>
        <v/>
      </c>
      <c r="G44" s="33">
        <f>AVERAGE(F221)</f>
        <v/>
      </c>
      <c r="H44" s="32">
        <f>G221</f>
        <v/>
      </c>
      <c r="I44" s="32">
        <f>H221</f>
        <v/>
      </c>
      <c r="J44" s="33">
        <f>AVERAGE(J221)</f>
        <v/>
      </c>
      <c r="K44" s="32">
        <f>L221</f>
        <v/>
      </c>
      <c r="L44" s="32">
        <f>N221</f>
        <v/>
      </c>
      <c r="M44" s="32">
        <f>O221</f>
        <v/>
      </c>
      <c r="N44" s="32">
        <f>P221</f>
        <v/>
      </c>
    </row>
    <row r="45" ht="32" customHeight="1">
      <c r="A45" s="17" t="n">
        <v>43</v>
      </c>
      <c r="B45" s="15" t="inlineStr">
        <is>
          <t>Acc_UnstnchdPropane</t>
        </is>
      </c>
      <c r="C45" s="16" t="inlineStr">
        <is>
          <t>Unstenched Propane</t>
        </is>
      </c>
      <c r="D45" s="16" t="inlineStr">
        <is>
          <t>TK274, TK275, TK276, TK301, TK302, TK303, TK325, TK326, TK327, TK340, TK341, TK342, TK343, TK354</t>
        </is>
      </c>
      <c r="E45" s="17" t="n">
        <v>14</v>
      </c>
      <c r="F45" s="32">
        <f>E224+E225+E226+E227+E228+E229+E230+E231+E232+E233+E234+E235+E236+E237</f>
        <v/>
      </c>
      <c r="G45" s="33">
        <f>AVERAGE(F224,F225,F226,F227,F228,F229,F230,F231,F232,F233,F234,F235,F236,F237)</f>
        <v/>
      </c>
      <c r="H45" s="32">
        <f>G224+G225+G226+G227+G228+G229+G230+G231+G232+G233+G234+G235+G236+G237</f>
        <v/>
      </c>
      <c r="I45" s="32">
        <f>H224+H225+H226+H227+H228+H229+H230+H231+H232+H233+H234+H235+H236+H237</f>
        <v/>
      </c>
      <c r="J45" s="33">
        <f>AVERAGE(J224,J225,J226,J227,J228,J229,J230,J231,J232,J233,J234,J235,J236,J237)</f>
        <v/>
      </c>
      <c r="K45" s="32">
        <f>L224+L225+L226+L227+L228+L229+L230+L231+L232+L233+L234+L235+L236+L237</f>
        <v/>
      </c>
      <c r="L45" s="32">
        <f>N224+N225+N226+N227+N228+N229+N230+N231+N232+N233+N234+N235+N236+N237</f>
        <v/>
      </c>
      <c r="M45" s="32">
        <f>O224+O225+O226+O227+O228+O229+O230+O231+O232+O233+O234+O235+O236+O237</f>
        <v/>
      </c>
      <c r="N45" s="32">
        <f>P224+P225+P226+P227+P228+P229+P230+P231+P232+P233+P234+P235+P236+P237</f>
        <v/>
      </c>
    </row>
    <row r="46" ht="32" customHeight="1">
      <c r="A46" s="10" t="n">
        <v>44</v>
      </c>
      <c r="B46" s="6" t="inlineStr">
        <is>
          <t>H20</t>
        </is>
      </c>
      <c r="C46" s="7" t="inlineStr">
        <is>
          <t>Water</t>
        </is>
      </c>
      <c r="D46" s="7" t="inlineStr">
        <is>
          <t>TK83</t>
        </is>
      </c>
      <c r="E46" s="10" t="n">
        <v>1</v>
      </c>
      <c r="F46" s="32">
        <f>E240</f>
        <v/>
      </c>
      <c r="G46" s="33">
        <f>AVERAGE(F240)</f>
        <v/>
      </c>
      <c r="H46" s="32">
        <f>G240</f>
        <v/>
      </c>
      <c r="I46" s="32">
        <f>H240</f>
        <v/>
      </c>
      <c r="J46" s="33">
        <f>AVERAGE(J240)</f>
        <v/>
      </c>
      <c r="K46" s="32">
        <f>L240</f>
        <v/>
      </c>
      <c r="L46" s="32">
        <f>N240</f>
        <v/>
      </c>
      <c r="M46" s="32">
        <f>O240</f>
        <v/>
      </c>
      <c r="N46" s="32">
        <f>P240</f>
        <v/>
      </c>
    </row>
    <row r="47" ht="32" customHeight="1">
      <c r="A47" s="17" t="n">
        <v>45</v>
      </c>
      <c r="B47" s="15" t="inlineStr">
        <is>
          <t>OOS</t>
        </is>
      </c>
      <c r="C47" s="16" t="inlineStr">
        <is>
          <t>Out of Service</t>
        </is>
      </c>
      <c r="D47" s="16" t="inlineStr">
        <is>
          <t>TK153, TK774, TK775</t>
        </is>
      </c>
      <c r="E47" s="17" t="n">
        <v>3</v>
      </c>
      <c r="F47" s="32">
        <f>E243+E244+E245</f>
        <v/>
      </c>
      <c r="G47" s="33">
        <f>AVERAGE(F243,F244,F245)</f>
        <v/>
      </c>
      <c r="H47" s="32">
        <f>G243+G244+G245</f>
        <v/>
      </c>
      <c r="I47" s="32">
        <f>H243+H244+H245</f>
        <v/>
      </c>
      <c r="J47" s="33">
        <f>AVERAGE(J243,J244,J245)</f>
        <v/>
      </c>
      <c r="K47" s="32">
        <f>L243+L244+L245</f>
        <v/>
      </c>
      <c r="L47" s="32">
        <f>N243+N244+N245</f>
        <v/>
      </c>
      <c r="M47" s="32">
        <f>O243+O244+O245</f>
        <v/>
      </c>
      <c r="N47" s="32">
        <f>P243+P244+P245</f>
        <v/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2026-05-28T10:15:12Z</dcterms:created>
  <dcterms:modified xsi:type="dcterms:W3CDTF">2026-05-28T10:15:13Z</dcterms:modified>
</cp:coreProperties>
</file>